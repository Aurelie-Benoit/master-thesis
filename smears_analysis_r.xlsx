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814972\Documents\"/>
    </mc:Choice>
  </mc:AlternateContent>
  <xr:revisionPtr revIDLastSave="0" documentId="8_{670C233B-DA1F-4845-9BDE-479A06DE92F6}" xr6:coauthVersionLast="47" xr6:coauthVersionMax="47" xr10:uidLastSave="{00000000-0000-0000-0000-000000000000}"/>
  <bookViews>
    <workbookView xWindow="-120" yWindow="-120" windowWidth="29040" windowHeight="15720" xr2:uid="{8DFEC0FB-8CCD-4794-82A2-BAE88ED9E817}"/>
  </bookViews>
  <sheets>
    <sheet name="Sheet1" sheetId="1" r:id="rId1"/>
  </sheets>
  <definedNames>
    <definedName name="CIQWBGuid" hidden="1">"3367dfff-7a16-42cf-b050-665d06b3f6f9"</definedName>
    <definedName name="CIQWBInfo" hidden="1">"{ ""CIQVersion"":""9.52.4409.4666"" }"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1" i="1"/>
  <c r="O12" i="1"/>
  <c r="O13" i="1"/>
  <c r="O14" i="1"/>
  <c r="O15" i="1"/>
  <c r="O16" i="1"/>
  <c r="O17" i="1"/>
  <c r="O18" i="1"/>
  <c r="O20" i="1"/>
  <c r="O21" i="1"/>
  <c r="O22" i="1"/>
  <c r="O23" i="1"/>
  <c r="O24" i="1"/>
  <c r="O26" i="1"/>
  <c r="O27" i="1"/>
  <c r="O28" i="1"/>
  <c r="O29" i="1"/>
  <c r="O30" i="1"/>
  <c r="O31" i="1"/>
  <c r="O32" i="1"/>
  <c r="O33" i="1"/>
  <c r="O35" i="1"/>
  <c r="O36" i="1"/>
  <c r="O37" i="1"/>
  <c r="O38" i="1"/>
  <c r="O39" i="1"/>
  <c r="O40" i="1"/>
  <c r="O41" i="1"/>
  <c r="O42" i="1"/>
  <c r="O44" i="1"/>
  <c r="O45" i="1"/>
  <c r="O46" i="1"/>
  <c r="O47" i="1"/>
  <c r="O48" i="1"/>
  <c r="O50" i="1"/>
  <c r="O51" i="1"/>
  <c r="O52" i="1"/>
  <c r="O53" i="1"/>
  <c r="O54" i="1"/>
  <c r="O55" i="1"/>
  <c r="O56" i="1"/>
  <c r="O57" i="1"/>
  <c r="O59" i="1"/>
  <c r="O60" i="1"/>
  <c r="O61" i="1"/>
  <c r="O62" i="1"/>
  <c r="O63" i="1"/>
  <c r="O64" i="1"/>
  <c r="O65" i="1"/>
  <c r="O66" i="1"/>
  <c r="O68" i="1"/>
  <c r="O69" i="1"/>
  <c r="O70" i="1"/>
  <c r="O71" i="1"/>
  <c r="O72" i="1"/>
  <c r="O73" i="1"/>
  <c r="O74" i="1"/>
  <c r="N2" i="1"/>
  <c r="X2" i="1"/>
  <c r="X3" i="1"/>
  <c r="X4" i="1"/>
  <c r="X5" i="1"/>
  <c r="X6" i="1"/>
  <c r="X7" i="1"/>
  <c r="X8" i="1"/>
  <c r="X9" i="1"/>
  <c r="X11" i="1"/>
  <c r="X12" i="1"/>
  <c r="X13" i="1"/>
  <c r="X14" i="1"/>
  <c r="X15" i="1"/>
  <c r="X16" i="1"/>
  <c r="X17" i="1"/>
  <c r="X18" i="1"/>
  <c r="X20" i="1"/>
  <c r="X21" i="1"/>
  <c r="X22" i="1"/>
  <c r="X23" i="1"/>
  <c r="X24" i="1"/>
  <c r="X26" i="1"/>
  <c r="X27" i="1"/>
  <c r="X28" i="1"/>
  <c r="X29" i="1"/>
  <c r="X30" i="1"/>
  <c r="X31" i="1"/>
  <c r="X32" i="1"/>
  <c r="X33" i="1"/>
  <c r="X35" i="1"/>
  <c r="X36" i="1"/>
  <c r="X37" i="1"/>
  <c r="X38" i="1"/>
  <c r="X39" i="1"/>
  <c r="X40" i="1"/>
  <c r="X41" i="1"/>
  <c r="X42" i="1"/>
  <c r="X44" i="1"/>
  <c r="X45" i="1"/>
  <c r="X46" i="1"/>
  <c r="X47" i="1"/>
  <c r="X48" i="1"/>
  <c r="X50" i="1"/>
  <c r="X51" i="1"/>
  <c r="X52" i="1"/>
  <c r="X53" i="1"/>
  <c r="X54" i="1"/>
  <c r="X55" i="1"/>
  <c r="X56" i="1"/>
  <c r="X57" i="1"/>
  <c r="X59" i="1"/>
  <c r="X60" i="1"/>
  <c r="X61" i="1"/>
  <c r="X62" i="1"/>
  <c r="X63" i="1"/>
  <c r="X64" i="1"/>
  <c r="X65" i="1"/>
  <c r="X66" i="1"/>
  <c r="X68" i="1"/>
  <c r="X69" i="1"/>
  <c r="X70" i="1"/>
  <c r="X71" i="1"/>
  <c r="X72" i="1"/>
  <c r="X73" i="1"/>
  <c r="X74" i="1"/>
  <c r="W2" i="1"/>
  <c r="AJ2" i="1"/>
  <c r="AJ3" i="1"/>
  <c r="AJ4" i="1"/>
  <c r="AJ5" i="1"/>
  <c r="AJ6" i="1"/>
  <c r="AJ7" i="1"/>
  <c r="AJ8" i="1"/>
  <c r="AJ9" i="1"/>
  <c r="AJ11" i="1"/>
  <c r="AJ12" i="1"/>
  <c r="AJ13" i="1"/>
  <c r="AJ14" i="1"/>
  <c r="AJ15" i="1"/>
  <c r="AJ16" i="1"/>
  <c r="AJ17" i="1"/>
  <c r="AJ18" i="1"/>
  <c r="AJ20" i="1"/>
  <c r="AJ21" i="1"/>
  <c r="AJ22" i="1"/>
  <c r="AJ23" i="1"/>
  <c r="AJ24" i="1"/>
  <c r="AJ26" i="1"/>
  <c r="AJ27" i="1"/>
  <c r="AJ28" i="1"/>
  <c r="AJ29" i="1"/>
  <c r="AJ30" i="1"/>
  <c r="AJ31" i="1"/>
  <c r="AJ32" i="1"/>
  <c r="AJ33" i="1"/>
  <c r="AJ35" i="1"/>
  <c r="AJ36" i="1"/>
  <c r="AJ37" i="1"/>
  <c r="AJ38" i="1"/>
  <c r="AJ39" i="1"/>
  <c r="AJ40" i="1"/>
  <c r="AJ41" i="1"/>
  <c r="AJ42" i="1"/>
  <c r="AJ44" i="1"/>
  <c r="AJ45" i="1"/>
  <c r="AJ46" i="1"/>
  <c r="AJ47" i="1"/>
  <c r="AJ48" i="1"/>
  <c r="AJ50" i="1"/>
  <c r="AJ51" i="1"/>
  <c r="AJ52" i="1"/>
  <c r="AJ53" i="1"/>
  <c r="AJ54" i="1"/>
  <c r="AJ55" i="1"/>
  <c r="AJ56" i="1"/>
  <c r="AJ57" i="1"/>
  <c r="AJ59" i="1"/>
  <c r="AJ60" i="1"/>
  <c r="AJ61" i="1"/>
  <c r="AJ62" i="1"/>
  <c r="AJ63" i="1"/>
  <c r="AJ64" i="1"/>
  <c r="AJ65" i="1"/>
  <c r="AJ66" i="1"/>
  <c r="AJ68" i="1"/>
  <c r="AJ69" i="1"/>
  <c r="AJ70" i="1"/>
  <c r="AJ71" i="1"/>
  <c r="AJ72" i="1"/>
  <c r="AJ73" i="1"/>
  <c r="AJ74" i="1"/>
  <c r="AI2" i="1"/>
  <c r="AO2" i="1"/>
  <c r="AO3" i="1"/>
  <c r="AO4" i="1"/>
  <c r="AO5" i="1"/>
  <c r="AO6" i="1"/>
  <c r="AO7" i="1"/>
  <c r="AO8" i="1"/>
  <c r="AO9" i="1"/>
  <c r="AO11" i="1"/>
  <c r="AO12" i="1"/>
  <c r="AO13" i="1"/>
  <c r="AO14" i="1"/>
  <c r="AO15" i="1"/>
  <c r="AO16" i="1"/>
  <c r="AO17" i="1"/>
  <c r="AO18" i="1"/>
  <c r="AO20" i="1"/>
  <c r="AO21" i="1"/>
  <c r="AO22" i="1"/>
  <c r="AO23" i="1"/>
  <c r="AO24" i="1"/>
  <c r="AO26" i="1"/>
  <c r="AO27" i="1"/>
  <c r="AO28" i="1"/>
  <c r="AO29" i="1"/>
  <c r="AO30" i="1"/>
  <c r="AO31" i="1"/>
  <c r="AO32" i="1"/>
  <c r="AO33" i="1"/>
  <c r="AO35" i="1"/>
  <c r="AO36" i="1"/>
  <c r="AO37" i="1"/>
  <c r="AO38" i="1"/>
  <c r="AO39" i="1"/>
  <c r="AO40" i="1"/>
  <c r="AO41" i="1"/>
  <c r="AO42" i="1"/>
  <c r="AO44" i="1"/>
  <c r="AO45" i="1"/>
  <c r="AO46" i="1"/>
  <c r="AO47" i="1"/>
  <c r="AO48" i="1"/>
  <c r="AO50" i="1"/>
  <c r="AO51" i="1"/>
  <c r="AO52" i="1"/>
  <c r="AO53" i="1"/>
  <c r="AO54" i="1"/>
  <c r="AO55" i="1"/>
  <c r="AO56" i="1"/>
  <c r="AO57" i="1"/>
  <c r="AO59" i="1"/>
  <c r="AO60" i="1"/>
  <c r="AO61" i="1"/>
  <c r="AO62" i="1"/>
  <c r="AO63" i="1"/>
  <c r="AO64" i="1"/>
  <c r="AO65" i="1"/>
  <c r="AO66" i="1"/>
  <c r="AO68" i="1"/>
  <c r="AO69" i="1"/>
  <c r="AO70" i="1"/>
  <c r="AO71" i="1"/>
  <c r="AO72" i="1"/>
  <c r="AO73" i="1"/>
  <c r="AO74" i="1"/>
  <c r="AN2" i="1"/>
  <c r="AT2" i="1"/>
  <c r="AT3" i="1"/>
  <c r="AT4" i="1"/>
  <c r="AT5" i="1"/>
  <c r="AT6" i="1"/>
  <c r="AT7" i="1"/>
  <c r="AT8" i="1"/>
  <c r="AT9" i="1"/>
  <c r="AT11" i="1"/>
  <c r="AT12" i="1"/>
  <c r="AT13" i="1"/>
  <c r="AT14" i="1"/>
  <c r="AT15" i="1"/>
  <c r="AT16" i="1"/>
  <c r="AT17" i="1"/>
  <c r="AT18" i="1"/>
  <c r="AT20" i="1"/>
  <c r="AT21" i="1"/>
  <c r="AT22" i="1"/>
  <c r="AT23" i="1"/>
  <c r="AT24" i="1"/>
  <c r="AT26" i="1"/>
  <c r="AT27" i="1"/>
  <c r="AT28" i="1"/>
  <c r="AT29" i="1"/>
  <c r="AT30" i="1"/>
  <c r="AT31" i="1"/>
  <c r="AT32" i="1"/>
  <c r="AT33" i="1"/>
  <c r="AT35" i="1"/>
  <c r="AT36" i="1"/>
  <c r="AT37" i="1"/>
  <c r="AT38" i="1"/>
  <c r="AT39" i="1"/>
  <c r="AT40" i="1"/>
  <c r="AT41" i="1"/>
  <c r="AT42" i="1"/>
  <c r="AT44" i="1"/>
  <c r="AT45" i="1"/>
  <c r="AT46" i="1"/>
  <c r="AT47" i="1"/>
  <c r="AT48" i="1"/>
  <c r="AT50" i="1"/>
  <c r="AT51" i="1"/>
  <c r="AT52" i="1"/>
  <c r="AT53" i="1"/>
  <c r="AT54" i="1"/>
  <c r="AT55" i="1"/>
  <c r="AT56" i="1"/>
  <c r="AT57" i="1"/>
  <c r="AT59" i="1"/>
  <c r="AT60" i="1"/>
  <c r="AT61" i="1"/>
  <c r="AT62" i="1"/>
  <c r="AT63" i="1"/>
  <c r="AT64" i="1"/>
  <c r="AT65" i="1"/>
  <c r="AT66" i="1"/>
  <c r="AT68" i="1"/>
  <c r="AT69" i="1"/>
  <c r="AT70" i="1"/>
  <c r="AT71" i="1"/>
  <c r="AT72" i="1"/>
  <c r="AT73" i="1"/>
  <c r="AT74" i="1"/>
  <c r="AS2" i="1"/>
  <c r="AX2" i="1"/>
  <c r="AY2" i="1"/>
  <c r="AY3" i="1"/>
  <c r="AY4" i="1"/>
  <c r="AY5" i="1"/>
  <c r="AY6" i="1"/>
  <c r="AY7" i="1"/>
  <c r="AY8" i="1"/>
  <c r="AY9" i="1"/>
  <c r="AY11" i="1"/>
  <c r="AY12" i="1"/>
  <c r="AY13" i="1"/>
  <c r="AY14" i="1"/>
  <c r="AY15" i="1"/>
  <c r="AY16" i="1"/>
  <c r="AY17" i="1"/>
  <c r="AY18" i="1"/>
  <c r="AY20" i="1"/>
  <c r="AY21" i="1"/>
  <c r="AY22" i="1"/>
  <c r="AY23" i="1"/>
  <c r="AY24" i="1"/>
  <c r="AY26" i="1"/>
  <c r="AY27" i="1"/>
  <c r="AY28" i="1"/>
  <c r="AY29" i="1"/>
  <c r="AY30" i="1"/>
  <c r="AY31" i="1"/>
  <c r="AY32" i="1"/>
  <c r="AY33" i="1"/>
  <c r="AY35" i="1"/>
  <c r="AY36" i="1"/>
  <c r="AY37" i="1"/>
  <c r="AY38" i="1"/>
  <c r="AY39" i="1"/>
  <c r="AY40" i="1"/>
  <c r="AY41" i="1"/>
  <c r="AY42" i="1"/>
  <c r="AY44" i="1"/>
  <c r="AY45" i="1"/>
  <c r="AY46" i="1"/>
  <c r="AY47" i="1"/>
  <c r="AY48" i="1"/>
  <c r="AY50" i="1"/>
  <c r="AY51" i="1"/>
  <c r="AY52" i="1"/>
  <c r="AY53" i="1"/>
  <c r="AY54" i="1"/>
  <c r="AY55" i="1"/>
  <c r="AY56" i="1"/>
  <c r="AY57" i="1"/>
  <c r="AY59" i="1"/>
  <c r="AY60" i="1"/>
  <c r="AY61" i="1"/>
  <c r="AY62" i="1"/>
  <c r="AY63" i="1"/>
  <c r="AY64" i="1"/>
  <c r="AY65" i="1"/>
  <c r="AY66" i="1"/>
  <c r="AY68" i="1"/>
  <c r="AY69" i="1"/>
  <c r="AY70" i="1"/>
  <c r="AY71" i="1"/>
  <c r="AY72" i="1"/>
  <c r="AY73" i="1"/>
  <c r="AY74" i="1"/>
  <c r="AX3" i="1"/>
  <c r="AX4" i="1"/>
  <c r="AX5" i="1"/>
  <c r="AX6" i="1"/>
  <c r="AX7" i="1"/>
  <c r="AX8" i="1"/>
  <c r="AX9" i="1"/>
  <c r="AX11" i="1"/>
  <c r="AX12" i="1"/>
  <c r="AX13" i="1"/>
  <c r="AX14" i="1"/>
  <c r="AX15" i="1"/>
  <c r="AX16" i="1"/>
  <c r="AX17" i="1"/>
  <c r="AX18" i="1"/>
  <c r="AX20" i="1"/>
  <c r="AX21" i="1"/>
  <c r="AX22" i="1"/>
  <c r="AX23" i="1"/>
  <c r="AX24" i="1"/>
  <c r="AX26" i="1"/>
  <c r="AX27" i="1"/>
  <c r="AX28" i="1"/>
  <c r="AX29" i="1"/>
  <c r="AX30" i="1"/>
  <c r="AX31" i="1"/>
  <c r="AX32" i="1"/>
  <c r="AX33" i="1"/>
  <c r="AX35" i="1"/>
  <c r="AX36" i="1"/>
  <c r="AX37" i="1"/>
  <c r="AX38" i="1"/>
  <c r="AX39" i="1"/>
  <c r="AX40" i="1"/>
  <c r="AX41" i="1"/>
  <c r="AX42" i="1"/>
  <c r="AX44" i="1"/>
  <c r="AX45" i="1"/>
  <c r="AX46" i="1"/>
  <c r="AX47" i="1"/>
  <c r="AX48" i="1"/>
  <c r="AX50" i="1"/>
  <c r="AX51" i="1"/>
  <c r="AX52" i="1"/>
  <c r="AX53" i="1"/>
  <c r="AX54" i="1"/>
  <c r="AX55" i="1"/>
  <c r="AX56" i="1"/>
  <c r="AX57" i="1"/>
  <c r="AX59" i="1"/>
  <c r="AX60" i="1"/>
  <c r="AX61" i="1"/>
  <c r="AX62" i="1"/>
  <c r="AX63" i="1"/>
  <c r="AX64" i="1"/>
  <c r="AX65" i="1"/>
  <c r="AX66" i="1"/>
  <c r="AX68" i="1"/>
  <c r="AX69" i="1"/>
  <c r="AX70" i="1"/>
  <c r="AX71" i="1"/>
  <c r="AX72" i="1"/>
  <c r="AX73" i="1"/>
  <c r="AX74" i="1"/>
  <c r="BC2" i="1"/>
  <c r="BC3" i="1"/>
  <c r="BC4" i="1"/>
  <c r="BC5" i="1"/>
  <c r="BC6" i="1"/>
  <c r="BC7" i="1"/>
  <c r="BC8" i="1"/>
  <c r="BC9" i="1"/>
  <c r="BC11" i="1"/>
  <c r="BC12" i="1"/>
  <c r="BC13" i="1"/>
  <c r="BC14" i="1"/>
  <c r="BC15" i="1"/>
  <c r="BC16" i="1"/>
  <c r="BC17" i="1"/>
  <c r="BC18" i="1"/>
  <c r="BC20" i="1"/>
  <c r="BC21" i="1"/>
  <c r="BC22" i="1"/>
  <c r="BC23" i="1"/>
  <c r="BC24" i="1"/>
  <c r="BC26" i="1"/>
  <c r="BC27" i="1"/>
  <c r="BC28" i="1"/>
  <c r="BC29" i="1"/>
  <c r="BC30" i="1"/>
  <c r="BC31" i="1"/>
  <c r="BC32" i="1"/>
  <c r="BC33" i="1"/>
  <c r="BC35" i="1"/>
  <c r="BC36" i="1"/>
  <c r="BC37" i="1"/>
  <c r="BC38" i="1"/>
  <c r="BC39" i="1"/>
  <c r="BC40" i="1"/>
  <c r="BC41" i="1"/>
  <c r="BC42" i="1"/>
  <c r="BC44" i="1"/>
  <c r="BC45" i="1"/>
  <c r="BC46" i="1"/>
  <c r="BC47" i="1"/>
  <c r="BC48" i="1"/>
  <c r="BC50" i="1"/>
  <c r="BC51" i="1"/>
  <c r="BC52" i="1"/>
  <c r="BC53" i="1"/>
  <c r="BC54" i="1"/>
  <c r="BC55" i="1"/>
  <c r="BC56" i="1"/>
  <c r="BC57" i="1"/>
  <c r="BC59" i="1"/>
  <c r="BC60" i="1"/>
  <c r="BC61" i="1"/>
  <c r="BC62" i="1"/>
  <c r="BC63" i="1"/>
  <c r="BC64" i="1"/>
  <c r="BC65" i="1"/>
  <c r="BC66" i="1"/>
  <c r="BC68" i="1"/>
  <c r="BC69" i="1"/>
  <c r="BC70" i="1"/>
  <c r="BC71" i="1"/>
  <c r="BC72" i="1"/>
  <c r="BC73" i="1"/>
  <c r="BC74" i="1"/>
  <c r="AS3" i="1"/>
  <c r="AS4" i="1"/>
  <c r="AS5" i="1"/>
  <c r="AS6" i="1"/>
  <c r="AS7" i="1"/>
  <c r="AS8" i="1"/>
  <c r="AS9" i="1"/>
  <c r="AS11" i="1"/>
  <c r="AS12" i="1"/>
  <c r="AS13" i="1"/>
  <c r="AS14" i="1"/>
  <c r="AS15" i="1"/>
  <c r="AS16" i="1"/>
  <c r="AS17" i="1"/>
  <c r="AS18" i="1"/>
  <c r="AS20" i="1"/>
  <c r="AS21" i="1"/>
  <c r="AS22" i="1"/>
  <c r="AS23" i="1"/>
  <c r="AS24" i="1"/>
  <c r="AS26" i="1"/>
  <c r="AS27" i="1"/>
  <c r="AS28" i="1"/>
  <c r="AS29" i="1"/>
  <c r="AS30" i="1"/>
  <c r="AS31" i="1"/>
  <c r="AS32" i="1"/>
  <c r="AS33" i="1"/>
  <c r="AS35" i="1"/>
  <c r="AS36" i="1"/>
  <c r="AS37" i="1"/>
  <c r="AS38" i="1"/>
  <c r="AS39" i="1"/>
  <c r="AS40" i="1"/>
  <c r="AS41" i="1"/>
  <c r="AS42" i="1"/>
  <c r="AS44" i="1"/>
  <c r="AS45" i="1"/>
  <c r="AS46" i="1"/>
  <c r="AS47" i="1"/>
  <c r="AS48" i="1"/>
  <c r="AS50" i="1"/>
  <c r="AS51" i="1"/>
  <c r="AS52" i="1"/>
  <c r="AS53" i="1"/>
  <c r="AS54" i="1"/>
  <c r="AS55" i="1"/>
  <c r="AS56" i="1"/>
  <c r="AS57" i="1"/>
  <c r="AS59" i="1"/>
  <c r="AS60" i="1"/>
  <c r="AS61" i="1"/>
  <c r="AS62" i="1"/>
  <c r="AS63" i="1"/>
  <c r="AS64" i="1"/>
  <c r="AS65" i="1"/>
  <c r="AS66" i="1"/>
  <c r="AS68" i="1"/>
  <c r="AS69" i="1"/>
  <c r="AS70" i="1"/>
  <c r="AS71" i="1"/>
  <c r="AS72" i="1"/>
  <c r="AS73" i="1"/>
  <c r="AS74" i="1"/>
  <c r="AN3" i="1"/>
  <c r="AN4" i="1"/>
  <c r="AN5" i="1"/>
  <c r="AN6" i="1"/>
  <c r="AN7" i="1"/>
  <c r="AN8" i="1"/>
  <c r="AN9" i="1"/>
  <c r="AN11" i="1"/>
  <c r="AN12" i="1"/>
  <c r="AN13" i="1"/>
  <c r="AN14" i="1"/>
  <c r="AN15" i="1"/>
  <c r="AN16" i="1"/>
  <c r="AN17" i="1"/>
  <c r="AN18" i="1"/>
  <c r="AN20" i="1"/>
  <c r="AN21" i="1"/>
  <c r="AN22" i="1"/>
  <c r="AN23" i="1"/>
  <c r="AN24" i="1"/>
  <c r="AN26" i="1"/>
  <c r="AN27" i="1"/>
  <c r="AN28" i="1"/>
  <c r="AN29" i="1"/>
  <c r="AN30" i="1"/>
  <c r="AN31" i="1"/>
  <c r="AN32" i="1"/>
  <c r="AN33" i="1"/>
  <c r="AN35" i="1"/>
  <c r="AN36" i="1"/>
  <c r="AN37" i="1"/>
  <c r="AN38" i="1"/>
  <c r="AN39" i="1"/>
  <c r="AN40" i="1"/>
  <c r="AN41" i="1"/>
  <c r="AN42" i="1"/>
  <c r="AN44" i="1"/>
  <c r="AN45" i="1"/>
  <c r="AN46" i="1"/>
  <c r="AN47" i="1"/>
  <c r="AN48" i="1"/>
  <c r="AN50" i="1"/>
  <c r="AN51" i="1"/>
  <c r="AN52" i="1"/>
  <c r="AN53" i="1"/>
  <c r="AN54" i="1"/>
  <c r="AN55" i="1"/>
  <c r="AN56" i="1"/>
  <c r="AN57" i="1"/>
  <c r="AN59" i="1"/>
  <c r="AN60" i="1"/>
  <c r="AN61" i="1"/>
  <c r="AN62" i="1"/>
  <c r="AN63" i="1"/>
  <c r="AN64" i="1"/>
  <c r="AN65" i="1"/>
  <c r="AN66" i="1"/>
  <c r="AN68" i="1"/>
  <c r="AN69" i="1"/>
  <c r="AN70" i="1"/>
  <c r="AN71" i="1"/>
  <c r="AN72" i="1"/>
  <c r="AN73" i="1"/>
  <c r="AN74" i="1"/>
  <c r="AI3" i="1"/>
  <c r="AI4" i="1"/>
  <c r="AI5" i="1"/>
  <c r="AI6" i="1"/>
  <c r="AI7" i="1"/>
  <c r="AI8" i="1"/>
  <c r="AI9" i="1"/>
  <c r="AI11" i="1"/>
  <c r="AI12" i="1"/>
  <c r="AI13" i="1"/>
  <c r="AI14" i="1"/>
  <c r="AI15" i="1"/>
  <c r="AI16" i="1"/>
  <c r="AI17" i="1"/>
  <c r="AI18" i="1"/>
  <c r="AI20" i="1"/>
  <c r="AI21" i="1"/>
  <c r="AI22" i="1"/>
  <c r="AI23" i="1"/>
  <c r="AI24" i="1"/>
  <c r="AI26" i="1"/>
  <c r="AI27" i="1"/>
  <c r="AI28" i="1"/>
  <c r="AI29" i="1"/>
  <c r="AI30" i="1"/>
  <c r="AI31" i="1"/>
  <c r="AI32" i="1"/>
  <c r="AI33" i="1"/>
  <c r="AI35" i="1"/>
  <c r="AI36" i="1"/>
  <c r="AI37" i="1"/>
  <c r="AI38" i="1"/>
  <c r="AI39" i="1"/>
  <c r="AI40" i="1"/>
  <c r="AI41" i="1"/>
  <c r="AI42" i="1"/>
  <c r="AI44" i="1"/>
  <c r="AI45" i="1"/>
  <c r="AI46" i="1"/>
  <c r="AI47" i="1"/>
  <c r="AI48" i="1"/>
  <c r="AI50" i="1"/>
  <c r="AI51" i="1"/>
  <c r="AI52" i="1"/>
  <c r="AI53" i="1"/>
  <c r="AI54" i="1"/>
  <c r="AI55" i="1"/>
  <c r="AI56" i="1"/>
  <c r="AI57" i="1"/>
  <c r="AI59" i="1"/>
  <c r="AI60" i="1"/>
  <c r="AI61" i="1"/>
  <c r="AI62" i="1"/>
  <c r="AI63" i="1"/>
  <c r="AI64" i="1"/>
  <c r="AI65" i="1"/>
  <c r="AI66" i="1"/>
  <c r="AI68" i="1"/>
  <c r="AI69" i="1"/>
  <c r="AI70" i="1"/>
  <c r="AI71" i="1"/>
  <c r="AI72" i="1"/>
  <c r="AI73" i="1"/>
  <c r="AI74" i="1"/>
  <c r="AE2" i="1"/>
  <c r="AE3" i="1"/>
  <c r="AE4" i="1"/>
  <c r="AE5" i="1"/>
  <c r="AE6" i="1"/>
  <c r="AE7" i="1"/>
  <c r="AE8" i="1"/>
  <c r="AE9" i="1"/>
  <c r="AE11" i="1"/>
  <c r="AE12" i="1"/>
  <c r="AE13" i="1"/>
  <c r="AE14" i="1"/>
  <c r="AE15" i="1"/>
  <c r="AE16" i="1"/>
  <c r="AE17" i="1"/>
  <c r="AE18" i="1"/>
  <c r="AE20" i="1"/>
  <c r="AE21" i="1"/>
  <c r="AE22" i="1"/>
  <c r="AE23" i="1"/>
  <c r="AE24" i="1"/>
  <c r="AE26" i="1"/>
  <c r="AE27" i="1"/>
  <c r="AE28" i="1"/>
  <c r="AE29" i="1"/>
  <c r="AE30" i="1"/>
  <c r="AE31" i="1"/>
  <c r="AE32" i="1"/>
  <c r="AE33" i="1"/>
  <c r="AE35" i="1"/>
  <c r="AE36" i="1"/>
  <c r="AE37" i="1"/>
  <c r="AE38" i="1"/>
  <c r="AE39" i="1"/>
  <c r="AE40" i="1"/>
  <c r="AE41" i="1"/>
  <c r="AE42" i="1"/>
  <c r="AE44" i="1"/>
  <c r="AE45" i="1"/>
  <c r="AE46" i="1"/>
  <c r="AE47" i="1"/>
  <c r="AE48" i="1"/>
  <c r="AE50" i="1"/>
  <c r="AE51" i="1"/>
  <c r="AE52" i="1"/>
  <c r="AE53" i="1"/>
  <c r="AE54" i="1"/>
  <c r="AE55" i="1"/>
  <c r="AE56" i="1"/>
  <c r="AE57" i="1"/>
  <c r="AE59" i="1"/>
  <c r="AE60" i="1"/>
  <c r="AE61" i="1"/>
  <c r="AE62" i="1"/>
  <c r="AE63" i="1"/>
  <c r="AE64" i="1"/>
  <c r="AE65" i="1"/>
  <c r="AE66" i="1"/>
  <c r="AE68" i="1"/>
  <c r="AE69" i="1"/>
  <c r="AE70" i="1"/>
  <c r="AE71" i="1"/>
  <c r="AE72" i="1"/>
  <c r="AE73" i="1"/>
  <c r="AE74" i="1"/>
  <c r="W3" i="1"/>
  <c r="W4" i="1"/>
  <c r="W5" i="1"/>
  <c r="W6" i="1"/>
  <c r="W7" i="1"/>
  <c r="W8" i="1"/>
  <c r="W9" i="1"/>
  <c r="W11" i="1"/>
  <c r="W12" i="1"/>
  <c r="W13" i="1"/>
  <c r="W14" i="1"/>
  <c r="W15" i="1"/>
  <c r="W16" i="1"/>
  <c r="W17" i="1"/>
  <c r="W18" i="1"/>
  <c r="W20" i="1"/>
  <c r="W21" i="1"/>
  <c r="W22" i="1"/>
  <c r="W23" i="1"/>
  <c r="W24" i="1"/>
  <c r="W26" i="1"/>
  <c r="W27" i="1"/>
  <c r="W28" i="1"/>
  <c r="W29" i="1"/>
  <c r="W30" i="1"/>
  <c r="W31" i="1"/>
  <c r="W32" i="1"/>
  <c r="W33" i="1"/>
  <c r="W35" i="1"/>
  <c r="W36" i="1"/>
  <c r="W37" i="1"/>
  <c r="W38" i="1"/>
  <c r="W39" i="1"/>
  <c r="W40" i="1"/>
  <c r="W41" i="1"/>
  <c r="W42" i="1"/>
  <c r="W44" i="1"/>
  <c r="W45" i="1"/>
  <c r="W46" i="1"/>
  <c r="W47" i="1"/>
  <c r="W48" i="1"/>
  <c r="W50" i="1"/>
  <c r="W51" i="1"/>
  <c r="W52" i="1"/>
  <c r="W53" i="1"/>
  <c r="W54" i="1"/>
  <c r="W55" i="1"/>
  <c r="W56" i="1"/>
  <c r="W57" i="1"/>
  <c r="W59" i="1"/>
  <c r="W60" i="1"/>
  <c r="W61" i="1"/>
  <c r="W62" i="1"/>
  <c r="W63" i="1"/>
  <c r="W64" i="1"/>
  <c r="W65" i="1"/>
  <c r="W66" i="1"/>
  <c r="W68" i="1"/>
  <c r="W69" i="1"/>
  <c r="W70" i="1"/>
  <c r="W71" i="1"/>
  <c r="W72" i="1"/>
  <c r="W73" i="1"/>
  <c r="W74" i="1"/>
  <c r="N3" i="1"/>
  <c r="N4" i="1"/>
  <c r="N5" i="1"/>
  <c r="N6" i="1"/>
  <c r="N7" i="1"/>
  <c r="N8" i="1"/>
  <c r="N9" i="1"/>
  <c r="N11" i="1"/>
  <c r="N12" i="1"/>
  <c r="N13" i="1"/>
  <c r="N14" i="1"/>
  <c r="N15" i="1"/>
  <c r="N16" i="1"/>
  <c r="N17" i="1"/>
  <c r="N18" i="1"/>
  <c r="N20" i="1"/>
  <c r="N21" i="1"/>
  <c r="N22" i="1"/>
  <c r="N23" i="1"/>
  <c r="N24" i="1"/>
  <c r="N26" i="1"/>
  <c r="N27" i="1"/>
  <c r="N28" i="1"/>
  <c r="N29" i="1"/>
  <c r="N30" i="1"/>
  <c r="N31" i="1"/>
  <c r="N32" i="1"/>
  <c r="N33" i="1"/>
  <c r="N35" i="1"/>
  <c r="N36" i="1"/>
  <c r="N37" i="1"/>
  <c r="N38" i="1"/>
  <c r="N39" i="1"/>
  <c r="N40" i="1"/>
  <c r="N41" i="1"/>
  <c r="N42" i="1"/>
  <c r="N44" i="1"/>
  <c r="N45" i="1"/>
  <c r="N46" i="1"/>
  <c r="N47" i="1"/>
  <c r="N48" i="1"/>
  <c r="N50" i="1"/>
  <c r="N51" i="1"/>
  <c r="N52" i="1"/>
  <c r="N53" i="1"/>
  <c r="N54" i="1"/>
  <c r="N55" i="1"/>
  <c r="N56" i="1"/>
  <c r="N57" i="1"/>
  <c r="N59" i="1"/>
  <c r="N60" i="1"/>
  <c r="N61" i="1"/>
  <c r="N62" i="1"/>
  <c r="N63" i="1"/>
  <c r="N64" i="1"/>
  <c r="N65" i="1"/>
  <c r="N66" i="1"/>
  <c r="N68" i="1"/>
  <c r="N69" i="1"/>
  <c r="N70" i="1"/>
  <c r="N71" i="1"/>
  <c r="N72" i="1"/>
  <c r="N73" i="1"/>
  <c r="N74" i="1"/>
  <c r="K7" i="1"/>
  <c r="L7" i="1" s="1"/>
  <c r="I2" i="1"/>
  <c r="AD2" i="1" s="1"/>
  <c r="AF2" i="1" s="1"/>
  <c r="I3" i="1"/>
  <c r="BM3" i="1" s="1"/>
  <c r="BN3" i="1" s="1"/>
  <c r="I4" i="1"/>
  <c r="BM4" i="1" s="1"/>
  <c r="BN4" i="1" s="1"/>
  <c r="I5" i="1"/>
  <c r="I6" i="1"/>
  <c r="I7" i="1"/>
  <c r="I8" i="1"/>
  <c r="AA8" i="1" s="1"/>
  <c r="AB8" i="1" s="1"/>
  <c r="I9" i="1"/>
  <c r="AA9" i="1" s="1"/>
  <c r="AB9" i="1" s="1"/>
  <c r="I11" i="1"/>
  <c r="V11" i="1" s="1"/>
  <c r="Y11" i="1" s="1"/>
  <c r="I12" i="1"/>
  <c r="BJ12" i="1" s="1"/>
  <c r="BK12" i="1" s="1"/>
  <c r="I13" i="1"/>
  <c r="BM13" i="1" s="1"/>
  <c r="BN13" i="1" s="1"/>
  <c r="I14" i="1"/>
  <c r="BM14" i="1" s="1"/>
  <c r="BN14" i="1" s="1"/>
  <c r="I15" i="1"/>
  <c r="AW15" i="1" s="1"/>
  <c r="AZ15" i="1" s="1"/>
  <c r="I16" i="1"/>
  <c r="BM16" i="1" s="1"/>
  <c r="BN16" i="1" s="1"/>
  <c r="I17" i="1"/>
  <c r="AD17" i="1" s="1"/>
  <c r="AF17" i="1" s="1"/>
  <c r="I18" i="1"/>
  <c r="BG18" i="1" s="1"/>
  <c r="BH18" i="1" s="1"/>
  <c r="I20" i="1"/>
  <c r="BJ20" i="1" s="1"/>
  <c r="BK20" i="1" s="1"/>
  <c r="I21" i="1"/>
  <c r="BJ21" i="1" s="1"/>
  <c r="BK21" i="1" s="1"/>
  <c r="I22" i="1"/>
  <c r="BJ22" i="1" s="1"/>
  <c r="BK22" i="1" s="1"/>
  <c r="I23" i="1"/>
  <c r="AA23" i="1" s="1"/>
  <c r="AB23" i="1" s="1"/>
  <c r="I24" i="1"/>
  <c r="AA24" i="1" s="1"/>
  <c r="AB24" i="1" s="1"/>
  <c r="I26" i="1"/>
  <c r="AD26" i="1" s="1"/>
  <c r="AF26" i="1" s="1"/>
  <c r="I27" i="1"/>
  <c r="BJ27" i="1" s="1"/>
  <c r="BK27" i="1" s="1"/>
  <c r="I28" i="1"/>
  <c r="BB28" i="1" s="1"/>
  <c r="BE28" i="1" s="1"/>
  <c r="I29" i="1"/>
  <c r="BB29" i="1" s="1"/>
  <c r="BE29" i="1" s="1"/>
  <c r="I30" i="1"/>
  <c r="V30" i="1" s="1"/>
  <c r="I31" i="1"/>
  <c r="BM31" i="1" s="1"/>
  <c r="BN31" i="1" s="1"/>
  <c r="I32" i="1"/>
  <c r="V32" i="1" s="1"/>
  <c r="I33" i="1"/>
  <c r="AR33" i="1" s="1"/>
  <c r="AU33" i="1" s="1"/>
  <c r="I35" i="1"/>
  <c r="AR35" i="1" s="1"/>
  <c r="AU35" i="1" s="1"/>
  <c r="I36" i="1"/>
  <c r="AH36" i="1" s="1"/>
  <c r="AK36" i="1" s="1"/>
  <c r="I37" i="1"/>
  <c r="I38" i="1"/>
  <c r="AW38" i="1" s="1"/>
  <c r="AZ38" i="1" s="1"/>
  <c r="I39" i="1"/>
  <c r="I40" i="1"/>
  <c r="I41" i="1"/>
  <c r="AH41" i="1" s="1"/>
  <c r="AK41" i="1" s="1"/>
  <c r="I42" i="1"/>
  <c r="AH42" i="1" s="1"/>
  <c r="AK42" i="1" s="1"/>
  <c r="I44" i="1"/>
  <c r="AH44" i="1" s="1"/>
  <c r="AK44" i="1" s="1"/>
  <c r="I45" i="1"/>
  <c r="I46" i="1"/>
  <c r="BJ46" i="1" s="1"/>
  <c r="BK46" i="1" s="1"/>
  <c r="I47" i="1"/>
  <c r="BJ47" i="1" s="1"/>
  <c r="BK47" i="1" s="1"/>
  <c r="I48" i="1"/>
  <c r="AM48" i="1" s="1"/>
  <c r="AP48" i="1" s="1"/>
  <c r="I50" i="1"/>
  <c r="BM50" i="1" s="1"/>
  <c r="BN50" i="1" s="1"/>
  <c r="I51" i="1"/>
  <c r="BM51" i="1" s="1"/>
  <c r="BN51" i="1" s="1"/>
  <c r="I52" i="1"/>
  <c r="BJ52" i="1" s="1"/>
  <c r="BK52" i="1" s="1"/>
  <c r="I53" i="1"/>
  <c r="AD53" i="1" s="1"/>
  <c r="AF53" i="1" s="1"/>
  <c r="I54" i="1"/>
  <c r="BM54" i="1" s="1"/>
  <c r="BN54" i="1" s="1"/>
  <c r="I55" i="1"/>
  <c r="AD55" i="1" s="1"/>
  <c r="AF55" i="1" s="1"/>
  <c r="I56" i="1"/>
  <c r="AM56" i="1" s="1"/>
  <c r="AP56" i="1" s="1"/>
  <c r="I57" i="1"/>
  <c r="AW57" i="1" s="1"/>
  <c r="AZ57" i="1" s="1"/>
  <c r="I59" i="1"/>
  <c r="AW59" i="1" s="1"/>
  <c r="AZ59" i="1" s="1"/>
  <c r="I60" i="1"/>
  <c r="AA60" i="1" s="1"/>
  <c r="AB60" i="1" s="1"/>
  <c r="I61" i="1"/>
  <c r="AM61" i="1" s="1"/>
  <c r="AP61" i="1" s="1"/>
  <c r="I62" i="1"/>
  <c r="AD62" i="1" s="1"/>
  <c r="AF62" i="1" s="1"/>
  <c r="I63" i="1"/>
  <c r="V63" i="1" s="1"/>
  <c r="I64" i="1"/>
  <c r="AR64" i="1" s="1"/>
  <c r="AU64" i="1" s="1"/>
  <c r="I65" i="1"/>
  <c r="AM65" i="1" s="1"/>
  <c r="AP65" i="1" s="1"/>
  <c r="I66" i="1"/>
  <c r="I68" i="1"/>
  <c r="I69" i="1"/>
  <c r="BJ69" i="1" s="1"/>
  <c r="BK69" i="1" s="1"/>
  <c r="I70" i="1"/>
  <c r="BM70" i="1" s="1"/>
  <c r="BN70" i="1" s="1"/>
  <c r="I71" i="1"/>
  <c r="AR71" i="1" s="1"/>
  <c r="AU71" i="1" s="1"/>
  <c r="K48" i="1"/>
  <c r="L48" i="1" s="1"/>
  <c r="K41" i="1"/>
  <c r="L41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26" i="1"/>
  <c r="L26" i="1" s="1"/>
  <c r="K35" i="1"/>
  <c r="L35" i="1" s="1"/>
  <c r="K2" i="1"/>
  <c r="L2" i="1" s="1"/>
  <c r="K3" i="1"/>
  <c r="L3" i="1" s="1"/>
  <c r="K4" i="1"/>
  <c r="L4" i="1" s="1"/>
  <c r="K5" i="1"/>
  <c r="L5" i="1" s="1"/>
  <c r="K6" i="1"/>
  <c r="L6" i="1" s="1"/>
  <c r="K8" i="1"/>
  <c r="L8" i="1" s="1"/>
  <c r="K9" i="1"/>
  <c r="L9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20" i="1"/>
  <c r="L20" i="1" s="1"/>
  <c r="K21" i="1"/>
  <c r="L21" i="1" s="1"/>
  <c r="K22" i="1"/>
  <c r="L22" i="1" s="1"/>
  <c r="K23" i="1"/>
  <c r="L23" i="1" s="1"/>
  <c r="K24" i="1"/>
  <c r="L24" i="1" s="1"/>
  <c r="K36" i="1"/>
  <c r="L36" i="1" s="1"/>
  <c r="K37" i="1"/>
  <c r="L37" i="1" s="1"/>
  <c r="K38" i="1"/>
  <c r="L38" i="1" s="1"/>
  <c r="K39" i="1"/>
  <c r="L39" i="1" s="1"/>
  <c r="K40" i="1"/>
  <c r="L40" i="1" s="1"/>
  <c r="K42" i="1"/>
  <c r="L42" i="1" s="1"/>
  <c r="K44" i="1"/>
  <c r="L44" i="1" s="1"/>
  <c r="K45" i="1"/>
  <c r="L45" i="1" s="1"/>
  <c r="K46" i="1"/>
  <c r="L46" i="1" s="1"/>
  <c r="K47" i="1"/>
  <c r="L47" i="1" s="1"/>
  <c r="K50" i="1"/>
  <c r="L50" i="1" s="1"/>
  <c r="K51" i="1"/>
  <c r="L51" i="1" s="1"/>
  <c r="K52" i="1"/>
  <c r="L52" i="1" s="1"/>
  <c r="K53" i="1"/>
  <c r="L53" i="1" s="1"/>
  <c r="K54" i="1"/>
  <c r="L54" i="1" s="1"/>
  <c r="K55" i="1"/>
  <c r="L55" i="1" s="1"/>
  <c r="K56" i="1"/>
  <c r="L56" i="1" s="1"/>
  <c r="K57" i="1"/>
  <c r="L57" i="1" s="1"/>
  <c r="K59" i="1"/>
  <c r="L59" i="1" s="1"/>
  <c r="K60" i="1"/>
  <c r="L60" i="1" s="1"/>
  <c r="K61" i="1"/>
  <c r="L61" i="1" s="1"/>
  <c r="K62" i="1"/>
  <c r="L62" i="1" s="1"/>
  <c r="K63" i="1"/>
  <c r="L63" i="1" s="1"/>
  <c r="K64" i="1"/>
  <c r="L64" i="1" s="1"/>
  <c r="K65" i="1"/>
  <c r="L65" i="1" s="1"/>
  <c r="K66" i="1"/>
  <c r="L66" i="1" s="1"/>
  <c r="K68" i="1"/>
  <c r="L68" i="1" s="1"/>
  <c r="K69" i="1"/>
  <c r="L69" i="1" s="1"/>
  <c r="K70" i="1"/>
  <c r="L70" i="1" s="1"/>
  <c r="K71" i="1"/>
  <c r="L71" i="1" s="1"/>
  <c r="AM64" i="1" l="1"/>
  <c r="AP64" i="1" s="1"/>
  <c r="AM63" i="1"/>
  <c r="AP63" i="1" s="1"/>
  <c r="AM62" i="1"/>
  <c r="AP62" i="1" s="1"/>
  <c r="AH15" i="1"/>
  <c r="AK15" i="1" s="1"/>
  <c r="AD23" i="1"/>
  <c r="AF23" i="1" s="1"/>
  <c r="V3" i="1"/>
  <c r="AR42" i="1"/>
  <c r="AU42" i="1" s="1"/>
  <c r="AR41" i="1"/>
  <c r="AU41" i="1" s="1"/>
  <c r="BM46" i="1"/>
  <c r="BN46" i="1" s="1"/>
  <c r="AR24" i="1"/>
  <c r="AU24" i="1" s="1"/>
  <c r="AR23" i="1"/>
  <c r="AU23" i="1" s="1"/>
  <c r="AR22" i="1"/>
  <c r="AU22" i="1" s="1"/>
  <c r="AR21" i="1"/>
  <c r="AU21" i="1" s="1"/>
  <c r="AM53" i="1"/>
  <c r="AP53" i="1" s="1"/>
  <c r="AR20" i="1"/>
  <c r="AU20" i="1" s="1"/>
  <c r="AM29" i="1"/>
  <c r="AP29" i="1" s="1"/>
  <c r="BG30" i="1"/>
  <c r="BH30" i="1" s="1"/>
  <c r="AH47" i="1"/>
  <c r="AK47" i="1" s="1"/>
  <c r="BG29" i="1"/>
  <c r="BH29" i="1" s="1"/>
  <c r="AH46" i="1"/>
  <c r="AK46" i="1" s="1"/>
  <c r="BG28" i="1"/>
  <c r="BH28" i="1" s="1"/>
  <c r="BG24" i="1"/>
  <c r="BH24" i="1" s="1"/>
  <c r="BG23" i="1"/>
  <c r="BH23" i="1" s="1"/>
  <c r="BM65" i="1"/>
  <c r="BN65" i="1" s="1"/>
  <c r="AH27" i="1"/>
  <c r="AK27" i="1" s="1"/>
  <c r="BM64" i="1"/>
  <c r="BN64" i="1" s="1"/>
  <c r="AR70" i="1"/>
  <c r="AU70" i="1" s="1"/>
  <c r="BJ23" i="1"/>
  <c r="BK23" i="1" s="1"/>
  <c r="AR69" i="1"/>
  <c r="AU69" i="1" s="1"/>
  <c r="BM30" i="1"/>
  <c r="BN30" i="1" s="1"/>
  <c r="AW53" i="1"/>
  <c r="AZ53" i="1" s="1"/>
  <c r="AD70" i="1"/>
  <c r="AF70" i="1" s="1"/>
  <c r="AW23" i="1"/>
  <c r="AZ23" i="1" s="1"/>
  <c r="BM8" i="1"/>
  <c r="BN8" i="1" s="1"/>
  <c r="AH30" i="1"/>
  <c r="AK30" i="1" s="1"/>
  <c r="BM29" i="1"/>
  <c r="BN29" i="1" s="1"/>
  <c r="BB27" i="1"/>
  <c r="BE27" i="1" s="1"/>
  <c r="AA30" i="1"/>
  <c r="AB30" i="1" s="1"/>
  <c r="AA22" i="1"/>
  <c r="AB22" i="1" s="1"/>
  <c r="BG70" i="1"/>
  <c r="BH70" i="1" s="1"/>
  <c r="AH11" i="1"/>
  <c r="AK11" i="1" s="1"/>
  <c r="AA69" i="1"/>
  <c r="AB69" i="1" s="1"/>
  <c r="BG2" i="1"/>
  <c r="BH2" i="1" s="1"/>
  <c r="AM60" i="1"/>
  <c r="AP60" i="1" s="1"/>
  <c r="AM55" i="1"/>
  <c r="AP55" i="1" s="1"/>
  <c r="V54" i="1"/>
  <c r="Y54" i="1" s="1"/>
  <c r="BG69" i="1"/>
  <c r="BH69" i="1" s="1"/>
  <c r="AH14" i="1"/>
  <c r="AK14" i="1" s="1"/>
  <c r="BB11" i="1"/>
  <c r="BE11" i="1" s="1"/>
  <c r="AA53" i="1"/>
  <c r="AB53" i="1" s="1"/>
  <c r="BG71" i="1"/>
  <c r="BH71" i="1" s="1"/>
  <c r="AM54" i="1"/>
  <c r="AP54" i="1" s="1"/>
  <c r="V52" i="1"/>
  <c r="Y52" i="1" s="1"/>
  <c r="BG54" i="1"/>
  <c r="BH54" i="1" s="1"/>
  <c r="BJ68" i="1"/>
  <c r="BK68" i="1" s="1"/>
  <c r="BB68" i="1"/>
  <c r="BE68" i="1" s="1"/>
  <c r="BG68" i="1"/>
  <c r="BH68" i="1" s="1"/>
  <c r="AR68" i="1"/>
  <c r="AU68" i="1" s="1"/>
  <c r="BJ45" i="1"/>
  <c r="BK45" i="1" s="1"/>
  <c r="AH45" i="1"/>
  <c r="AK45" i="1" s="1"/>
  <c r="AD45" i="1"/>
  <c r="AF45" i="1" s="1"/>
  <c r="BM22" i="1"/>
  <c r="BN22" i="1" s="1"/>
  <c r="AW22" i="1"/>
  <c r="AZ22" i="1" s="1"/>
  <c r="BG22" i="1"/>
  <c r="BH22" i="1" s="1"/>
  <c r="BM66" i="1"/>
  <c r="BN66" i="1" s="1"/>
  <c r="AM66" i="1"/>
  <c r="AP66" i="1" s="1"/>
  <c r="BB66" i="1"/>
  <c r="BE66" i="1" s="1"/>
  <c r="AR66" i="1"/>
  <c r="AU66" i="1" s="1"/>
  <c r="AD66" i="1"/>
  <c r="AF66" i="1" s="1"/>
  <c r="BM44" i="1"/>
  <c r="BN44" i="1" s="1"/>
  <c r="BJ44" i="1"/>
  <c r="BK44" i="1" s="1"/>
  <c r="AW44" i="1"/>
  <c r="AZ44" i="1" s="1"/>
  <c r="AD21" i="1"/>
  <c r="AF21" i="1" s="1"/>
  <c r="AW21" i="1"/>
  <c r="AZ21" i="1" s="1"/>
  <c r="AM21" i="1"/>
  <c r="AP21" i="1" s="1"/>
  <c r="AA21" i="1"/>
  <c r="AB21" i="1" s="1"/>
  <c r="BG21" i="1"/>
  <c r="BH21" i="1" s="1"/>
  <c r="BM21" i="1"/>
  <c r="BN21" i="1" s="1"/>
  <c r="BJ65" i="1"/>
  <c r="BK65" i="1" s="1"/>
  <c r="AR65" i="1"/>
  <c r="AU65" i="1" s="1"/>
  <c r="BB65" i="1"/>
  <c r="BE65" i="1" s="1"/>
  <c r="AD65" i="1"/>
  <c r="AF65" i="1" s="1"/>
  <c r="AD42" i="1"/>
  <c r="AF42" i="1" s="1"/>
  <c r="BJ42" i="1"/>
  <c r="BK42" i="1" s="1"/>
  <c r="AW42" i="1"/>
  <c r="AZ42" i="1" s="1"/>
  <c r="AM42" i="1"/>
  <c r="AP42" i="1" s="1"/>
  <c r="AW20" i="1"/>
  <c r="AZ20" i="1" s="1"/>
  <c r="AA20" i="1"/>
  <c r="AB20" i="1" s="1"/>
  <c r="BG20" i="1"/>
  <c r="BH20" i="1" s="1"/>
  <c r="AD20" i="1"/>
  <c r="AF20" i="1" s="1"/>
  <c r="AM20" i="1"/>
  <c r="AP20" i="1" s="1"/>
  <c r="BM20" i="1"/>
  <c r="BN20" i="1" s="1"/>
  <c r="AA68" i="1"/>
  <c r="AB68" i="1" s="1"/>
  <c r="BJ64" i="1"/>
  <c r="BK64" i="1" s="1"/>
  <c r="BB64" i="1"/>
  <c r="BE64" i="1" s="1"/>
  <c r="AD64" i="1"/>
  <c r="AF64" i="1" s="1"/>
  <c r="AW41" i="1"/>
  <c r="AZ41" i="1" s="1"/>
  <c r="AD41" i="1"/>
  <c r="AF41" i="1" s="1"/>
  <c r="AM41" i="1"/>
  <c r="AP41" i="1" s="1"/>
  <c r="BJ41" i="1"/>
  <c r="BK41" i="1" s="1"/>
  <c r="V41" i="1"/>
  <c r="Y41" i="1" s="1"/>
  <c r="AA66" i="1"/>
  <c r="AB66" i="1" s="1"/>
  <c r="AA65" i="1"/>
  <c r="AB65" i="1" s="1"/>
  <c r="BB42" i="1"/>
  <c r="BE42" i="1" s="1"/>
  <c r="BM42" i="1"/>
  <c r="BN42" i="1" s="1"/>
  <c r="AA64" i="1"/>
  <c r="AB64" i="1" s="1"/>
  <c r="BB41" i="1"/>
  <c r="BE41" i="1" s="1"/>
  <c r="BM41" i="1"/>
  <c r="BN41" i="1" s="1"/>
  <c r="BB20" i="1"/>
  <c r="BE20" i="1" s="1"/>
  <c r="AA11" i="1"/>
  <c r="AB11" i="1" s="1"/>
  <c r="BJ54" i="1"/>
  <c r="BK54" i="1" s="1"/>
  <c r="AD29" i="1"/>
  <c r="AF29" i="1" s="1"/>
  <c r="AW12" i="1"/>
  <c r="AZ12" i="1" s="1"/>
  <c r="BJ53" i="1"/>
  <c r="BK53" i="1" s="1"/>
  <c r="AH54" i="1"/>
  <c r="AK54" i="1" s="1"/>
  <c r="AD28" i="1"/>
  <c r="AF28" i="1" s="1"/>
  <c r="AW11" i="1"/>
  <c r="AZ11" i="1" s="1"/>
  <c r="AD27" i="1"/>
  <c r="AF27" i="1" s="1"/>
  <c r="BJ55" i="1"/>
  <c r="BK55" i="1" s="1"/>
  <c r="AH55" i="1"/>
  <c r="AK55" i="1" s="1"/>
  <c r="AH53" i="1"/>
  <c r="AK53" i="1" s="1"/>
  <c r="AA70" i="1"/>
  <c r="AB70" i="1" s="1"/>
  <c r="BM2" i="1"/>
  <c r="BN2" i="1" s="1"/>
  <c r="BJ24" i="1"/>
  <c r="BK24" i="1" s="1"/>
  <c r="AM47" i="1"/>
  <c r="AP47" i="1" s="1"/>
  <c r="AR12" i="1"/>
  <c r="AU12" i="1" s="1"/>
  <c r="V71" i="1"/>
  <c r="Y71" i="1" s="1"/>
  <c r="AR11" i="1"/>
  <c r="AU11" i="1" s="1"/>
  <c r="AD54" i="1"/>
  <c r="AF54" i="1" s="1"/>
  <c r="V66" i="1"/>
  <c r="Y66" i="1" s="1"/>
  <c r="AR55" i="1"/>
  <c r="AU55" i="1" s="1"/>
  <c r="AW70" i="1"/>
  <c r="AZ70" i="1" s="1"/>
  <c r="BG66" i="1"/>
  <c r="BH66" i="1" s="1"/>
  <c r="BJ32" i="1"/>
  <c r="BK32" i="1" s="1"/>
  <c r="AM32" i="1"/>
  <c r="AP32" i="1" s="1"/>
  <c r="AD48" i="1"/>
  <c r="AF48" i="1" s="1"/>
  <c r="V65" i="1"/>
  <c r="AR54" i="1"/>
  <c r="AU54" i="1" s="1"/>
  <c r="AW69" i="1"/>
  <c r="AZ69" i="1" s="1"/>
  <c r="BG65" i="1"/>
  <c r="BH65" i="1" s="1"/>
  <c r="BM15" i="1"/>
  <c r="BN15" i="1" s="1"/>
  <c r="BJ31" i="1"/>
  <c r="BK31" i="1" s="1"/>
  <c r="AM31" i="1"/>
  <c r="AP31" i="1" s="1"/>
  <c r="AH32" i="1"/>
  <c r="AK32" i="1" s="1"/>
  <c r="AD47" i="1"/>
  <c r="AF47" i="1" s="1"/>
  <c r="AA55" i="1"/>
  <c r="AB55" i="1" s="1"/>
  <c r="V64" i="1"/>
  <c r="AR53" i="1"/>
  <c r="AU53" i="1" s="1"/>
  <c r="AW65" i="1"/>
  <c r="AZ65" i="1" s="1"/>
  <c r="BB55" i="1"/>
  <c r="BE55" i="1" s="1"/>
  <c r="BG64" i="1"/>
  <c r="BH64" i="1" s="1"/>
  <c r="BG12" i="1"/>
  <c r="BH12" i="1" s="1"/>
  <c r="BJ30" i="1"/>
  <c r="BK30" i="1" s="1"/>
  <c r="AM30" i="1"/>
  <c r="AP30" i="1" s="1"/>
  <c r="AH31" i="1"/>
  <c r="AK31" i="1" s="1"/>
  <c r="AD46" i="1"/>
  <c r="AF46" i="1" s="1"/>
  <c r="AA54" i="1"/>
  <c r="AB54" i="1" s="1"/>
  <c r="V55" i="1"/>
  <c r="AR44" i="1"/>
  <c r="AU44" i="1" s="1"/>
  <c r="AW64" i="1"/>
  <c r="AZ64" i="1" s="1"/>
  <c r="BB54" i="1"/>
  <c r="BE54" i="1" s="1"/>
  <c r="BG55" i="1"/>
  <c r="BH55" i="1" s="1"/>
  <c r="BG11" i="1"/>
  <c r="BH11" i="1" s="1"/>
  <c r="BJ29" i="1"/>
  <c r="BK29" i="1" s="1"/>
  <c r="AA47" i="1"/>
  <c r="AB47" i="1" s="1"/>
  <c r="BB47" i="1"/>
  <c r="BE47" i="1" s="1"/>
  <c r="AD33" i="1"/>
  <c r="AF33" i="1" s="1"/>
  <c r="AA46" i="1"/>
  <c r="AB46" i="1" s="1"/>
  <c r="AR36" i="1"/>
  <c r="AU36" i="1" s="1"/>
  <c r="BG46" i="1"/>
  <c r="BH46" i="1" s="1"/>
  <c r="V35" i="1"/>
  <c r="Y35" i="1" s="1"/>
  <c r="BG45" i="1"/>
  <c r="BH45" i="1" s="1"/>
  <c r="AM11" i="1"/>
  <c r="AP11" i="1" s="1"/>
  <c r="V31" i="1"/>
  <c r="Y31" i="1" s="1"/>
  <c r="BG44" i="1"/>
  <c r="BH44" i="1" s="1"/>
  <c r="AH23" i="1"/>
  <c r="AK23" i="1" s="1"/>
  <c r="AA42" i="1"/>
  <c r="AB42" i="1" s="1"/>
  <c r="AR32" i="1"/>
  <c r="AU32" i="1" s="1"/>
  <c r="BB31" i="1"/>
  <c r="BE31" i="1" s="1"/>
  <c r="AH22" i="1"/>
  <c r="AK22" i="1" s="1"/>
  <c r="AA41" i="1"/>
  <c r="AB41" i="1" s="1"/>
  <c r="BJ66" i="1"/>
  <c r="BK66" i="1" s="1"/>
  <c r="AH65" i="1"/>
  <c r="AK65" i="1" s="1"/>
  <c r="AH21" i="1"/>
  <c r="AK21" i="1" s="1"/>
  <c r="AA32" i="1"/>
  <c r="AB32" i="1" s="1"/>
  <c r="V24" i="1"/>
  <c r="AR30" i="1"/>
  <c r="AU30" i="1" s="1"/>
  <c r="BG32" i="1"/>
  <c r="BH32" i="1" s="1"/>
  <c r="BM48" i="1"/>
  <c r="BN48" i="1" s="1"/>
  <c r="BJ9" i="1"/>
  <c r="BK9" i="1" s="1"/>
  <c r="BB48" i="1"/>
  <c r="BE48" i="1" s="1"/>
  <c r="BG47" i="1"/>
  <c r="BH47" i="1" s="1"/>
  <c r="AH26" i="1"/>
  <c r="AK26" i="1" s="1"/>
  <c r="BM69" i="1"/>
  <c r="BN69" i="1" s="1"/>
  <c r="AA45" i="1"/>
  <c r="AB45" i="1" s="1"/>
  <c r="BJ2" i="1"/>
  <c r="BK2" i="1" s="1"/>
  <c r="AH24" i="1"/>
  <c r="AK24" i="1" s="1"/>
  <c r="AA44" i="1"/>
  <c r="AB44" i="1" s="1"/>
  <c r="BB32" i="1"/>
  <c r="BE32" i="1" s="1"/>
  <c r="AH68" i="1"/>
  <c r="AK68" i="1" s="1"/>
  <c r="AW32" i="1"/>
  <c r="AZ32" i="1" s="1"/>
  <c r="BG42" i="1"/>
  <c r="BH42" i="1" s="1"/>
  <c r="AH66" i="1"/>
  <c r="AK66" i="1" s="1"/>
  <c r="AR31" i="1"/>
  <c r="AU31" i="1" s="1"/>
  <c r="AW31" i="1"/>
  <c r="AZ31" i="1" s="1"/>
  <c r="BG41" i="1"/>
  <c r="BH41" i="1" s="1"/>
  <c r="BJ11" i="1"/>
  <c r="BK11" i="1" s="1"/>
  <c r="AH64" i="1"/>
  <c r="AK64" i="1" s="1"/>
  <c r="AH20" i="1"/>
  <c r="AK20" i="1" s="1"/>
  <c r="AD24" i="1"/>
  <c r="AF24" i="1" s="1"/>
  <c r="AA31" i="1"/>
  <c r="AB31" i="1" s="1"/>
  <c r="V20" i="1"/>
  <c r="Y20" i="1" s="1"/>
  <c r="AW24" i="1"/>
  <c r="AZ24" i="1" s="1"/>
  <c r="BB21" i="1"/>
  <c r="BE21" i="1" s="1"/>
  <c r="BG31" i="1"/>
  <c r="BH31" i="1" s="1"/>
  <c r="BM47" i="1"/>
  <c r="BN47" i="1" s="1"/>
  <c r="BJ8" i="1"/>
  <c r="BK8" i="1" s="1"/>
  <c r="AH40" i="1"/>
  <c r="AK40" i="1" s="1"/>
  <c r="AD40" i="1"/>
  <c r="AF40" i="1" s="1"/>
  <c r="AM40" i="1"/>
  <c r="AP40" i="1" s="1"/>
  <c r="BJ40" i="1"/>
  <c r="BK40" i="1" s="1"/>
  <c r="AA39" i="1"/>
  <c r="AB39" i="1" s="1"/>
  <c r="AR39" i="1"/>
  <c r="AU39" i="1" s="1"/>
  <c r="AH39" i="1"/>
  <c r="AK39" i="1" s="1"/>
  <c r="AD39" i="1"/>
  <c r="AF39" i="1" s="1"/>
  <c r="AM39" i="1"/>
  <c r="AP39" i="1" s="1"/>
  <c r="BJ39" i="1"/>
  <c r="BK39" i="1" s="1"/>
  <c r="BM39" i="1"/>
  <c r="BN39" i="1" s="1"/>
  <c r="AR61" i="1"/>
  <c r="AU61" i="1" s="1"/>
  <c r="AH61" i="1"/>
  <c r="AK61" i="1" s="1"/>
  <c r="AW61" i="1"/>
  <c r="AZ61" i="1" s="1"/>
  <c r="V61" i="1"/>
  <c r="Y61" i="1" s="1"/>
  <c r="AA16" i="1"/>
  <c r="AB16" i="1" s="1"/>
  <c r="AH16" i="1"/>
  <c r="AK16" i="1" s="1"/>
  <c r="AR16" i="1"/>
  <c r="AU16" i="1" s="1"/>
  <c r="BG16" i="1"/>
  <c r="BH16" i="1" s="1"/>
  <c r="V16" i="1"/>
  <c r="AM17" i="1"/>
  <c r="AP17" i="1" s="1"/>
  <c r="AR40" i="1"/>
  <c r="AU40" i="1" s="1"/>
  <c r="BB60" i="1"/>
  <c r="BE60" i="1" s="1"/>
  <c r="BJ60" i="1"/>
  <c r="BK60" i="1" s="1"/>
  <c r="BM60" i="1"/>
  <c r="BN60" i="1" s="1"/>
  <c r="AW60" i="1"/>
  <c r="AZ60" i="1" s="1"/>
  <c r="V60" i="1"/>
  <c r="AR60" i="1"/>
  <c r="AU60" i="1" s="1"/>
  <c r="AR37" i="1"/>
  <c r="AU37" i="1" s="1"/>
  <c r="BJ37" i="1"/>
  <c r="BK37" i="1" s="1"/>
  <c r="BG37" i="1"/>
  <c r="BH37" i="1" s="1"/>
  <c r="AH37" i="1"/>
  <c r="AK37" i="1" s="1"/>
  <c r="AM37" i="1"/>
  <c r="AP37" i="1" s="1"/>
  <c r="BM37" i="1"/>
  <c r="BN37" i="1" s="1"/>
  <c r="BB59" i="1"/>
  <c r="BE59" i="1" s="1"/>
  <c r="V59" i="1"/>
  <c r="Y59" i="1" s="1"/>
  <c r="AM59" i="1"/>
  <c r="AP59" i="1" s="1"/>
  <c r="BJ59" i="1"/>
  <c r="BK59" i="1" s="1"/>
  <c r="BM59" i="1"/>
  <c r="BN59" i="1" s="1"/>
  <c r="BG59" i="1"/>
  <c r="BH59" i="1" s="1"/>
  <c r="AR59" i="1"/>
  <c r="AU59" i="1" s="1"/>
  <c r="AA59" i="1"/>
  <c r="AB59" i="1" s="1"/>
  <c r="AD59" i="1"/>
  <c r="AF59" i="1" s="1"/>
  <c r="BG14" i="1"/>
  <c r="BH14" i="1" s="1"/>
  <c r="BJ14" i="1"/>
  <c r="BK14" i="1" s="1"/>
  <c r="AR14" i="1"/>
  <c r="AU14" i="1" s="1"/>
  <c r="V14" i="1"/>
  <c r="Y14" i="1" s="1"/>
  <c r="AA14" i="1"/>
  <c r="AB14" i="1" s="1"/>
  <c r="AD14" i="1"/>
  <c r="AF14" i="1" s="1"/>
  <c r="AM15" i="1"/>
  <c r="AP15" i="1" s="1"/>
  <c r="AW16" i="1"/>
  <c r="AZ16" i="1" s="1"/>
  <c r="BB39" i="1"/>
  <c r="BE39" i="1" s="1"/>
  <c r="V57" i="1"/>
  <c r="Y57" i="1" s="1"/>
  <c r="AM57" i="1"/>
  <c r="AP57" i="1" s="1"/>
  <c r="BJ57" i="1"/>
  <c r="BK57" i="1" s="1"/>
  <c r="AD57" i="1"/>
  <c r="AF57" i="1" s="1"/>
  <c r="BM57" i="1"/>
  <c r="BN57" i="1" s="1"/>
  <c r="BG57" i="1"/>
  <c r="BH57" i="1" s="1"/>
  <c r="AR57" i="1"/>
  <c r="AU57" i="1" s="1"/>
  <c r="AA57" i="1"/>
  <c r="AB57" i="1" s="1"/>
  <c r="BB35" i="1"/>
  <c r="BE35" i="1" s="1"/>
  <c r="AM35" i="1"/>
  <c r="AP35" i="1" s="1"/>
  <c r="BJ35" i="1"/>
  <c r="BK35" i="1" s="1"/>
  <c r="BG35" i="1"/>
  <c r="BH35" i="1" s="1"/>
  <c r="BB13" i="1"/>
  <c r="BE13" i="1" s="1"/>
  <c r="AM13" i="1"/>
  <c r="AP13" i="1" s="1"/>
  <c r="BJ13" i="1"/>
  <c r="BK13" i="1" s="1"/>
  <c r="AA13" i="1"/>
  <c r="AB13" i="1" s="1"/>
  <c r="AD13" i="1"/>
  <c r="AF13" i="1" s="1"/>
  <c r="AH13" i="1"/>
  <c r="AK13" i="1" s="1"/>
  <c r="AM14" i="1"/>
  <c r="AP14" i="1" s="1"/>
  <c r="V18" i="1"/>
  <c r="BB38" i="1"/>
  <c r="BE38" i="1" s="1"/>
  <c r="BM56" i="1"/>
  <c r="BN56" i="1" s="1"/>
  <c r="AW56" i="1"/>
  <c r="AZ56" i="1" s="1"/>
  <c r="AD56" i="1"/>
  <c r="AF56" i="1" s="1"/>
  <c r="BG56" i="1"/>
  <c r="BH56" i="1" s="1"/>
  <c r="BB56" i="1"/>
  <c r="BE56" i="1" s="1"/>
  <c r="V56" i="1"/>
  <c r="AA56" i="1"/>
  <c r="AB56" i="1" s="1"/>
  <c r="BB33" i="1"/>
  <c r="BE33" i="1" s="1"/>
  <c r="AM33" i="1"/>
  <c r="AP33" i="1" s="1"/>
  <c r="V33" i="1"/>
  <c r="Y33" i="1" s="1"/>
  <c r="BM33" i="1"/>
  <c r="BN33" i="1" s="1"/>
  <c r="BJ33" i="1"/>
  <c r="BK33" i="1" s="1"/>
  <c r="BG33" i="1"/>
  <c r="BH33" i="1" s="1"/>
  <c r="AW33" i="1"/>
  <c r="AZ33" i="1" s="1"/>
  <c r="AH35" i="1"/>
  <c r="AK35" i="1" s="1"/>
  <c r="AD63" i="1"/>
  <c r="AF63" i="1" s="1"/>
  <c r="V13" i="1"/>
  <c r="Y13" i="1" s="1"/>
  <c r="AW14" i="1"/>
  <c r="AZ14" i="1" s="1"/>
  <c r="BB37" i="1"/>
  <c r="BE37" i="1" s="1"/>
  <c r="AH33" i="1"/>
  <c r="AK33" i="1" s="1"/>
  <c r="AW13" i="1"/>
  <c r="AZ13" i="1" s="1"/>
  <c r="BG61" i="1"/>
  <c r="BH61" i="1" s="1"/>
  <c r="BJ28" i="1"/>
  <c r="BK28" i="1" s="1"/>
  <c r="AD61" i="1"/>
  <c r="AF61" i="1" s="1"/>
  <c r="AD18" i="1"/>
  <c r="AF18" i="1" s="1"/>
  <c r="AW40" i="1"/>
  <c r="AZ40" i="1" s="1"/>
  <c r="BG60" i="1"/>
  <c r="BH60" i="1" s="1"/>
  <c r="AD60" i="1"/>
  <c r="AF60" i="1" s="1"/>
  <c r="AA40" i="1"/>
  <c r="AB40" i="1" s="1"/>
  <c r="AW39" i="1"/>
  <c r="AZ39" i="1" s="1"/>
  <c r="BG52" i="1"/>
  <c r="BH52" i="1" s="1"/>
  <c r="AR52" i="1"/>
  <c r="AU52" i="1" s="1"/>
  <c r="AH52" i="1"/>
  <c r="AK52" i="1" s="1"/>
  <c r="AA52" i="1"/>
  <c r="AB52" i="1" s="1"/>
  <c r="BM52" i="1"/>
  <c r="BN52" i="1" s="1"/>
  <c r="BB52" i="1"/>
  <c r="BE52" i="1" s="1"/>
  <c r="AW52" i="1"/>
  <c r="AZ52" i="1" s="1"/>
  <c r="AD52" i="1"/>
  <c r="AF52" i="1" s="1"/>
  <c r="AM52" i="1"/>
  <c r="AP52" i="1" s="1"/>
  <c r="AH29" i="1"/>
  <c r="AK29" i="1" s="1"/>
  <c r="AW29" i="1"/>
  <c r="AZ29" i="1" s="1"/>
  <c r="AR29" i="1"/>
  <c r="AU29" i="1" s="1"/>
  <c r="V29" i="1"/>
  <c r="Y29" i="1" s="1"/>
  <c r="AA29" i="1"/>
  <c r="AB29" i="1" s="1"/>
  <c r="AR7" i="1"/>
  <c r="AU7" i="1" s="1"/>
  <c r="BJ7" i="1"/>
  <c r="BK7" i="1" s="1"/>
  <c r="BM7" i="1"/>
  <c r="BN7" i="1" s="1"/>
  <c r="AD16" i="1"/>
  <c r="AF16" i="1" s="1"/>
  <c r="AA37" i="1"/>
  <c r="AB37" i="1" s="1"/>
  <c r="AA63" i="1"/>
  <c r="AB63" i="1" s="1"/>
  <c r="BG63" i="1"/>
  <c r="BH63" i="1" s="1"/>
  <c r="AR63" i="1"/>
  <c r="AU63" i="1" s="1"/>
  <c r="AH63" i="1"/>
  <c r="AK63" i="1" s="1"/>
  <c r="BB63" i="1"/>
  <c r="BE63" i="1" s="1"/>
  <c r="AW63" i="1"/>
  <c r="AZ63" i="1" s="1"/>
  <c r="AH18" i="1"/>
  <c r="AK18" i="1" s="1"/>
  <c r="BB18" i="1"/>
  <c r="BE18" i="1" s="1"/>
  <c r="AW18" i="1"/>
  <c r="AZ18" i="1" s="1"/>
  <c r="AR18" i="1"/>
  <c r="AU18" i="1" s="1"/>
  <c r="AM18" i="1"/>
  <c r="AP18" i="1" s="1"/>
  <c r="BJ18" i="1"/>
  <c r="BK18" i="1" s="1"/>
  <c r="AA18" i="1"/>
  <c r="AB18" i="1" s="1"/>
  <c r="AA62" i="1"/>
  <c r="AB62" i="1" s="1"/>
  <c r="BG62" i="1"/>
  <c r="BH62" i="1" s="1"/>
  <c r="AR62" i="1"/>
  <c r="AU62" i="1" s="1"/>
  <c r="AH62" i="1"/>
  <c r="AK62" i="1" s="1"/>
  <c r="AW62" i="1"/>
  <c r="AZ62" i="1" s="1"/>
  <c r="V62" i="1"/>
  <c r="AA17" i="1"/>
  <c r="AB17" i="1" s="1"/>
  <c r="AH17" i="1"/>
  <c r="AK17" i="1" s="1"/>
  <c r="AR17" i="1"/>
  <c r="AU17" i="1" s="1"/>
  <c r="V17" i="1"/>
  <c r="BJ17" i="1"/>
  <c r="BK17" i="1" s="1"/>
  <c r="BM63" i="1"/>
  <c r="BN63" i="1" s="1"/>
  <c r="AA38" i="1"/>
  <c r="AB38" i="1" s="1"/>
  <c r="AH38" i="1"/>
  <c r="AK38" i="1" s="1"/>
  <c r="BG38" i="1"/>
  <c r="BH38" i="1" s="1"/>
  <c r="AR38" i="1"/>
  <c r="AU38" i="1" s="1"/>
  <c r="AD38" i="1"/>
  <c r="AF38" i="1" s="1"/>
  <c r="AM38" i="1"/>
  <c r="AP38" i="1" s="1"/>
  <c r="BJ38" i="1"/>
  <c r="BK38" i="1" s="1"/>
  <c r="BM38" i="1"/>
  <c r="BN38" i="1" s="1"/>
  <c r="BM62" i="1"/>
  <c r="BN62" i="1" s="1"/>
  <c r="AR15" i="1"/>
  <c r="AU15" i="1" s="1"/>
  <c r="BG15" i="1"/>
  <c r="BH15" i="1" s="1"/>
  <c r="BJ15" i="1"/>
  <c r="BK15" i="1" s="1"/>
  <c r="V15" i="1"/>
  <c r="AA15" i="1"/>
  <c r="AB15" i="1" s="1"/>
  <c r="AM16" i="1"/>
  <c r="AP16" i="1" s="1"/>
  <c r="AW17" i="1"/>
  <c r="AZ17" i="1" s="1"/>
  <c r="BB40" i="1"/>
  <c r="BE40" i="1" s="1"/>
  <c r="BM61" i="1"/>
  <c r="BN61" i="1" s="1"/>
  <c r="BG36" i="1"/>
  <c r="BH36" i="1" s="1"/>
  <c r="BJ36" i="1"/>
  <c r="BK36" i="1" s="1"/>
  <c r="BM36" i="1"/>
  <c r="BN36" i="1" s="1"/>
  <c r="BB36" i="1"/>
  <c r="BE36" i="1" s="1"/>
  <c r="BG51" i="1"/>
  <c r="BH51" i="1" s="1"/>
  <c r="AH51" i="1"/>
  <c r="AK51" i="1" s="1"/>
  <c r="BJ51" i="1"/>
  <c r="BK51" i="1" s="1"/>
  <c r="AH28" i="1"/>
  <c r="AK28" i="1" s="1"/>
  <c r="AR28" i="1"/>
  <c r="AU28" i="1" s="1"/>
  <c r="AA28" i="1"/>
  <c r="AB28" i="1" s="1"/>
  <c r="BM28" i="1"/>
  <c r="BN28" i="1" s="1"/>
  <c r="AW28" i="1"/>
  <c r="AZ28" i="1" s="1"/>
  <c r="V28" i="1"/>
  <c r="BB6" i="1"/>
  <c r="BE6" i="1" s="1"/>
  <c r="AD6" i="1"/>
  <c r="AF6" i="1" s="1"/>
  <c r="BJ6" i="1"/>
  <c r="BK6" i="1" s="1"/>
  <c r="BM6" i="1"/>
  <c r="BN6" i="1" s="1"/>
  <c r="AM36" i="1"/>
  <c r="AP36" i="1" s="1"/>
  <c r="AH60" i="1"/>
  <c r="AK60" i="1" s="1"/>
  <c r="AD15" i="1"/>
  <c r="AF15" i="1" s="1"/>
  <c r="AA36" i="1"/>
  <c r="AB36" i="1" s="1"/>
  <c r="AW37" i="1"/>
  <c r="AZ37" i="1" s="1"/>
  <c r="BG17" i="1"/>
  <c r="BH17" i="1" s="1"/>
  <c r="BM40" i="1"/>
  <c r="BN40" i="1" s="1"/>
  <c r="BG50" i="1"/>
  <c r="BH50" i="1" s="1"/>
  <c r="AR50" i="1"/>
  <c r="AU50" i="1" s="1"/>
  <c r="AA50" i="1"/>
  <c r="AB50" i="1" s="1"/>
  <c r="AD50" i="1"/>
  <c r="AF50" i="1" s="1"/>
  <c r="AH50" i="1"/>
  <c r="AK50" i="1" s="1"/>
  <c r="AM50" i="1"/>
  <c r="AP50" i="1" s="1"/>
  <c r="BJ50" i="1"/>
  <c r="BK50" i="1" s="1"/>
  <c r="AR27" i="1"/>
  <c r="AU27" i="1" s="1"/>
  <c r="BG27" i="1"/>
  <c r="BH27" i="1" s="1"/>
  <c r="AA27" i="1"/>
  <c r="AB27" i="1" s="1"/>
  <c r="BM27" i="1"/>
  <c r="BN27" i="1" s="1"/>
  <c r="V27" i="1"/>
  <c r="AA5" i="1"/>
  <c r="AB5" i="1" s="1"/>
  <c r="AD5" i="1"/>
  <c r="AF5" i="1" s="1"/>
  <c r="BJ5" i="1"/>
  <c r="BK5" i="1" s="1"/>
  <c r="BM5" i="1"/>
  <c r="BN5" i="1" s="1"/>
  <c r="AH59" i="1"/>
  <c r="AK59" i="1" s="1"/>
  <c r="AA35" i="1"/>
  <c r="AB35" i="1" s="1"/>
  <c r="V51" i="1"/>
  <c r="AW36" i="1"/>
  <c r="AZ36" i="1" s="1"/>
  <c r="BG13" i="1"/>
  <c r="BH13" i="1" s="1"/>
  <c r="BM35" i="1"/>
  <c r="BN35" i="1" s="1"/>
  <c r="BJ63" i="1"/>
  <c r="BK63" i="1" s="1"/>
  <c r="BJ71" i="1"/>
  <c r="BK71" i="1" s="1"/>
  <c r="BB71" i="1"/>
  <c r="BE71" i="1" s="1"/>
  <c r="AA71" i="1"/>
  <c r="AB71" i="1" s="1"/>
  <c r="AD71" i="1"/>
  <c r="AF71" i="1" s="1"/>
  <c r="AM71" i="1"/>
  <c r="AP71" i="1" s="1"/>
  <c r="AH71" i="1"/>
  <c r="AK71" i="1" s="1"/>
  <c r="BG48" i="1"/>
  <c r="BH48" i="1" s="1"/>
  <c r="BJ48" i="1"/>
  <c r="BK48" i="1" s="1"/>
  <c r="AA48" i="1"/>
  <c r="AB48" i="1" s="1"/>
  <c r="AW48" i="1"/>
  <c r="AZ48" i="1" s="1"/>
  <c r="AR48" i="1"/>
  <c r="AU48" i="1" s="1"/>
  <c r="V48" i="1"/>
  <c r="Y48" i="1" s="1"/>
  <c r="BG26" i="1"/>
  <c r="BH26" i="1" s="1"/>
  <c r="BJ26" i="1"/>
  <c r="BK26" i="1" s="1"/>
  <c r="AA26" i="1"/>
  <c r="AB26" i="1" s="1"/>
  <c r="BM26" i="1"/>
  <c r="BN26" i="1" s="1"/>
  <c r="BB26" i="1"/>
  <c r="BE26" i="1" s="1"/>
  <c r="AR26" i="1"/>
  <c r="AU26" i="1" s="1"/>
  <c r="V26" i="1"/>
  <c r="Y26" i="1" s="1"/>
  <c r="BB4" i="1"/>
  <c r="BE4" i="1" s="1"/>
  <c r="BJ4" i="1"/>
  <c r="BK4" i="1" s="1"/>
  <c r="AH57" i="1"/>
  <c r="AK57" i="1" s="1"/>
  <c r="AA33" i="1"/>
  <c r="AB33" i="1" s="1"/>
  <c r="AW35" i="1"/>
  <c r="AZ35" i="1" s="1"/>
  <c r="BJ62" i="1"/>
  <c r="BK62" i="1" s="1"/>
  <c r="AH56" i="1"/>
  <c r="AK56" i="1" s="1"/>
  <c r="V40" i="1"/>
  <c r="Y40" i="1" s="1"/>
  <c r="BB62" i="1"/>
  <c r="BE62" i="1" s="1"/>
  <c r="BB17" i="1"/>
  <c r="BE17" i="1" s="1"/>
  <c r="BJ61" i="1"/>
  <c r="BK61" i="1" s="1"/>
  <c r="BJ16" i="1"/>
  <c r="BK16" i="1" s="1"/>
  <c r="V39" i="1"/>
  <c r="Y39" i="1" s="1"/>
  <c r="AR56" i="1"/>
  <c r="AU56" i="1" s="1"/>
  <c r="AR13" i="1"/>
  <c r="AU13" i="1" s="1"/>
  <c r="BB61" i="1"/>
  <c r="BE61" i="1" s="1"/>
  <c r="BB16" i="1"/>
  <c r="BE16" i="1" s="1"/>
  <c r="BJ56" i="1"/>
  <c r="BK56" i="1" s="1"/>
  <c r="AM28" i="1"/>
  <c r="AP28" i="1" s="1"/>
  <c r="AD37" i="1"/>
  <c r="AF37" i="1" s="1"/>
  <c r="V38" i="1"/>
  <c r="Y38" i="1" s="1"/>
  <c r="AW27" i="1"/>
  <c r="AZ27" i="1" s="1"/>
  <c r="BB57" i="1"/>
  <c r="BE57" i="1" s="1"/>
  <c r="BB15" i="1"/>
  <c r="BE15" i="1" s="1"/>
  <c r="BM71" i="1"/>
  <c r="BN71" i="1" s="1"/>
  <c r="AM27" i="1"/>
  <c r="AP27" i="1" s="1"/>
  <c r="AD36" i="1"/>
  <c r="AF36" i="1" s="1"/>
  <c r="V37" i="1"/>
  <c r="AW26" i="1"/>
  <c r="AZ26" i="1" s="1"/>
  <c r="BB14" i="1"/>
  <c r="BE14" i="1" s="1"/>
  <c r="BG40" i="1"/>
  <c r="BH40" i="1" s="1"/>
  <c r="BM18" i="1"/>
  <c r="BN18" i="1" s="1"/>
  <c r="AM26" i="1"/>
  <c r="AP26" i="1" s="1"/>
  <c r="AH48" i="1"/>
  <c r="AK48" i="1" s="1"/>
  <c r="AD35" i="1"/>
  <c r="AF35" i="1" s="1"/>
  <c r="AA61" i="1"/>
  <c r="AB61" i="1" s="1"/>
  <c r="V36" i="1"/>
  <c r="Y36" i="1" s="1"/>
  <c r="AW71" i="1"/>
  <c r="AZ71" i="1" s="1"/>
  <c r="BG39" i="1"/>
  <c r="BH39" i="1" s="1"/>
  <c r="BM17" i="1"/>
  <c r="BN17" i="1" s="1"/>
  <c r="BB12" i="1"/>
  <c r="BE12" i="1" s="1"/>
  <c r="AM12" i="1"/>
  <c r="AP12" i="1" s="1"/>
  <c r="V12" i="1"/>
  <c r="Y12" i="1" s="1"/>
  <c r="BM12" i="1"/>
  <c r="BN12" i="1" s="1"/>
  <c r="AD30" i="1"/>
  <c r="AF30" i="1" s="1"/>
  <c r="AW30" i="1"/>
  <c r="AZ30" i="1" s="1"/>
  <c r="BB30" i="1"/>
  <c r="BE30" i="1" s="1"/>
  <c r="BJ70" i="1"/>
  <c r="BK70" i="1" s="1"/>
  <c r="BB70" i="1"/>
  <c r="BE70" i="1" s="1"/>
  <c r="V70" i="1"/>
  <c r="Y70" i="1" s="1"/>
  <c r="AM70" i="1"/>
  <c r="AP70" i="1" s="1"/>
  <c r="BB3" i="1"/>
  <c r="BE3" i="1" s="1"/>
  <c r="BJ3" i="1"/>
  <c r="BK3" i="1" s="1"/>
  <c r="AD69" i="1"/>
  <c r="AF69" i="1" s="1"/>
  <c r="BB69" i="1"/>
  <c r="BE69" i="1" s="1"/>
  <c r="V69" i="1"/>
  <c r="Y69" i="1" s="1"/>
  <c r="AM69" i="1"/>
  <c r="AP69" i="1" s="1"/>
  <c r="AM46" i="1"/>
  <c r="AP46" i="1" s="1"/>
  <c r="BB46" i="1"/>
  <c r="BE46" i="1" s="1"/>
  <c r="BB24" i="1"/>
  <c r="BE24" i="1" s="1"/>
  <c r="AM24" i="1"/>
  <c r="AP24" i="1" s="1"/>
  <c r="AH12" i="1"/>
  <c r="AK12" i="1" s="1"/>
  <c r="V47" i="1"/>
  <c r="Y47" i="1" s="1"/>
  <c r="AR47" i="1"/>
  <c r="AU47" i="1" s="1"/>
  <c r="AW47" i="1"/>
  <c r="AZ47" i="1" s="1"/>
  <c r="AD68" i="1"/>
  <c r="AF68" i="1" s="1"/>
  <c r="BM68" i="1"/>
  <c r="BN68" i="1" s="1"/>
  <c r="AW68" i="1"/>
  <c r="AZ68" i="1" s="1"/>
  <c r="V68" i="1"/>
  <c r="Y68" i="1" s="1"/>
  <c r="AM68" i="1"/>
  <c r="AP68" i="1" s="1"/>
  <c r="BM45" i="1"/>
  <c r="BN45" i="1" s="1"/>
  <c r="V45" i="1"/>
  <c r="BB45" i="1"/>
  <c r="BE45" i="1" s="1"/>
  <c r="AM45" i="1"/>
  <c r="AP45" i="1" s="1"/>
  <c r="BM23" i="1"/>
  <c r="BN23" i="1" s="1"/>
  <c r="BB23" i="1"/>
  <c r="BE23" i="1" s="1"/>
  <c r="AM23" i="1"/>
  <c r="AP23" i="1" s="1"/>
  <c r="V23" i="1"/>
  <c r="AH70" i="1"/>
  <c r="AK70" i="1" s="1"/>
  <c r="AD12" i="1"/>
  <c r="AF12" i="1" s="1"/>
  <c r="V46" i="1"/>
  <c r="AR46" i="1"/>
  <c r="AU46" i="1" s="1"/>
  <c r="AW46" i="1"/>
  <c r="AZ46" i="1" s="1"/>
  <c r="BB53" i="1"/>
  <c r="BE53" i="1" s="1"/>
  <c r="BM53" i="1"/>
  <c r="BN53" i="1" s="1"/>
  <c r="AH69" i="1"/>
  <c r="AK69" i="1" s="1"/>
  <c r="AA12" i="1"/>
  <c r="AB12" i="1" s="1"/>
  <c r="AR45" i="1"/>
  <c r="AU45" i="1" s="1"/>
  <c r="AW45" i="1"/>
  <c r="AZ45" i="1" s="1"/>
  <c r="BM24" i="1"/>
  <c r="BN24" i="1" s="1"/>
  <c r="AD32" i="1"/>
  <c r="AF32" i="1" s="1"/>
  <c r="AD31" i="1"/>
  <c r="AF31" i="1" s="1"/>
  <c r="V44" i="1"/>
  <c r="V22" i="1"/>
  <c r="Y22" i="1" s="1"/>
  <c r="AW55" i="1"/>
  <c r="AZ55" i="1" s="1"/>
  <c r="BM55" i="1"/>
  <c r="BN55" i="1" s="1"/>
  <c r="BM32" i="1"/>
  <c r="BN32" i="1" s="1"/>
  <c r="BM11" i="1"/>
  <c r="BN11" i="1" s="1"/>
  <c r="AD11" i="1"/>
  <c r="AF11" i="1" s="1"/>
  <c r="AM44" i="1"/>
  <c r="AP44" i="1" s="1"/>
  <c r="AM22" i="1"/>
  <c r="AP22" i="1" s="1"/>
  <c r="V42" i="1"/>
  <c r="Y42" i="1" s="1"/>
  <c r="V21" i="1"/>
  <c r="Y21" i="1" s="1"/>
  <c r="AW54" i="1"/>
  <c r="AZ54" i="1" s="1"/>
  <c r="BB44" i="1"/>
  <c r="BE44" i="1" s="1"/>
  <c r="BB22" i="1"/>
  <c r="BE22" i="1" s="1"/>
  <c r="BM9" i="1"/>
  <c r="BN9" i="1" s="1"/>
  <c r="AD44" i="1"/>
  <c r="AF44" i="1" s="1"/>
  <c r="AD22" i="1"/>
  <c r="AF22" i="1" s="1"/>
  <c r="AW66" i="1"/>
  <c r="AZ66" i="1" s="1"/>
  <c r="V9" i="1"/>
  <c r="V8" i="1"/>
  <c r="Y8" i="1" s="1"/>
  <c r="V7" i="1"/>
  <c r="Y7" i="1" s="1"/>
  <c r="V6" i="1"/>
  <c r="Y6" i="1" s="1"/>
  <c r="AM9" i="1"/>
  <c r="AP9" i="1" s="1"/>
  <c r="V5" i="1"/>
  <c r="Y5" i="1" s="1"/>
  <c r="AM8" i="1"/>
  <c r="AP8" i="1" s="1"/>
  <c r="V4" i="1"/>
  <c r="Y4" i="1" s="1"/>
  <c r="BB9" i="1"/>
  <c r="BE9" i="1" s="1"/>
  <c r="AM7" i="1"/>
  <c r="AP7" i="1" s="1"/>
  <c r="AM5" i="1"/>
  <c r="AP5" i="1" s="1"/>
  <c r="AM3" i="1"/>
  <c r="AP3" i="1" s="1"/>
  <c r="AR9" i="1"/>
  <c r="AU9" i="1" s="1"/>
  <c r="AW9" i="1"/>
  <c r="AZ9" i="1" s="1"/>
  <c r="AW8" i="1"/>
  <c r="AZ8" i="1" s="1"/>
  <c r="AH9" i="1"/>
  <c r="AK9" i="1" s="1"/>
  <c r="AW7" i="1"/>
  <c r="AZ7" i="1" s="1"/>
  <c r="AD9" i="1"/>
  <c r="AF9" i="1" s="1"/>
  <c r="AW6" i="1"/>
  <c r="AZ6" i="1" s="1"/>
  <c r="AD8" i="1"/>
  <c r="AF8" i="1" s="1"/>
  <c r="AW5" i="1"/>
  <c r="AZ5" i="1" s="1"/>
  <c r="AD7" i="1"/>
  <c r="AF7" i="1" s="1"/>
  <c r="AW3" i="1"/>
  <c r="AZ3" i="1" s="1"/>
  <c r="AM2" i="1"/>
  <c r="AP2" i="1" s="1"/>
  <c r="AR2" i="1"/>
  <c r="AU2" i="1" s="1"/>
  <c r="AH2" i="1"/>
  <c r="AK2" i="1" s="1"/>
  <c r="V2" i="1"/>
  <c r="BB2" i="1"/>
  <c r="BE2" i="1" s="1"/>
  <c r="AW50" i="1"/>
  <c r="AZ50" i="1" s="1"/>
  <c r="BB50" i="1"/>
  <c r="BE50" i="1" s="1"/>
  <c r="V50" i="1"/>
  <c r="AW51" i="1"/>
  <c r="AZ51" i="1" s="1"/>
  <c r="AA51" i="1"/>
  <c r="AB51" i="1" s="1"/>
  <c r="AR51" i="1"/>
  <c r="AU51" i="1" s="1"/>
  <c r="AM51" i="1"/>
  <c r="AP51" i="1" s="1"/>
  <c r="BB51" i="1"/>
  <c r="BE51" i="1" s="1"/>
  <c r="AD51" i="1"/>
  <c r="AF51" i="1" s="1"/>
  <c r="V53" i="1"/>
  <c r="Y53" i="1" s="1"/>
  <c r="BG53" i="1"/>
  <c r="BH53" i="1" s="1"/>
  <c r="BG9" i="1"/>
  <c r="BH9" i="1" s="1"/>
  <c r="BG8" i="1"/>
  <c r="BH8" i="1" s="1"/>
  <c r="BG7" i="1"/>
  <c r="BH7" i="1" s="1"/>
  <c r="BG6" i="1"/>
  <c r="BH6" i="1" s="1"/>
  <c r="BG5" i="1"/>
  <c r="BH5" i="1" s="1"/>
  <c r="AW4" i="1"/>
  <c r="AZ4" i="1" s="1"/>
  <c r="AD4" i="1"/>
  <c r="AF4" i="1" s="1"/>
  <c r="BG4" i="1"/>
  <c r="BH4" i="1" s="1"/>
  <c r="AD3" i="1"/>
  <c r="AF3" i="1" s="1"/>
  <c r="BG3" i="1"/>
  <c r="BH3" i="1" s="1"/>
  <c r="AA2" i="1"/>
  <c r="AB2" i="1" s="1"/>
  <c r="AW2" i="1"/>
  <c r="AZ2" i="1" s="1"/>
  <c r="AM6" i="1"/>
  <c r="AP6" i="1" s="1"/>
  <c r="AM4" i="1"/>
  <c r="AP4" i="1" s="1"/>
  <c r="AH8" i="1"/>
  <c r="AK8" i="1" s="1"/>
  <c r="AR8" i="1"/>
  <c r="AU8" i="1" s="1"/>
  <c r="BB7" i="1"/>
  <c r="BE7" i="1" s="1"/>
  <c r="AA4" i="1"/>
  <c r="AB4" i="1" s="1"/>
  <c r="AH5" i="1"/>
  <c r="AK5" i="1" s="1"/>
  <c r="AA3" i="1"/>
  <c r="AB3" i="1" s="1"/>
  <c r="AR5" i="1"/>
  <c r="AU5" i="1" s="1"/>
  <c r="BB5" i="1"/>
  <c r="BE5" i="1" s="1"/>
  <c r="BB8" i="1"/>
  <c r="BE8" i="1" s="1"/>
  <c r="AH4" i="1"/>
  <c r="AK4" i="1" s="1"/>
  <c r="AR4" i="1"/>
  <c r="AU4" i="1" s="1"/>
  <c r="AA7" i="1"/>
  <c r="AB7" i="1" s="1"/>
  <c r="AA6" i="1"/>
  <c r="AB6" i="1" s="1"/>
  <c r="AH7" i="1"/>
  <c r="AK7" i="1" s="1"/>
  <c r="AH6" i="1"/>
  <c r="AK6" i="1" s="1"/>
  <c r="AR6" i="1"/>
  <c r="AU6" i="1" s="1"/>
  <c r="AH3" i="1"/>
  <c r="AK3" i="1" s="1"/>
  <c r="AR3" i="1"/>
  <c r="AU3" i="1" s="1"/>
  <c r="Y30" i="1"/>
  <c r="Y3" i="1"/>
  <c r="Y32" i="1"/>
  <c r="Y63" i="1"/>
  <c r="M18" i="1" l="1"/>
  <c r="P18" i="1" s="1"/>
  <c r="Q23" i="1"/>
  <c r="R23" i="1" s="1"/>
  <c r="T23" i="1" s="1"/>
  <c r="M62" i="1"/>
  <c r="P62" i="1" s="1"/>
  <c r="M64" i="1"/>
  <c r="P64" i="1" s="1"/>
  <c r="Q46" i="1"/>
  <c r="R46" i="1" s="1"/>
  <c r="T46" i="1" s="1"/>
  <c r="M24" i="1"/>
  <c r="P24" i="1" s="1"/>
  <c r="Y64" i="1"/>
  <c r="Y24" i="1"/>
  <c r="M14" i="1"/>
  <c r="P14" i="1" s="1"/>
  <c r="M15" i="1"/>
  <c r="P15" i="1" s="1"/>
  <c r="Q47" i="1"/>
  <c r="R47" i="1" s="1"/>
  <c r="T47" i="1" s="1"/>
  <c r="Q18" i="1"/>
  <c r="R18" i="1" s="1"/>
  <c r="Y18" i="1"/>
  <c r="Y46" i="1"/>
  <c r="Q11" i="1"/>
  <c r="R11" i="1" s="1"/>
  <c r="Q55" i="1"/>
  <c r="R55" i="1" s="1"/>
  <c r="T55" i="1" s="1"/>
  <c r="Y55" i="1"/>
  <c r="Q65" i="1"/>
  <c r="R65" i="1" s="1"/>
  <c r="M56" i="1"/>
  <c r="P56" i="1" s="1"/>
  <c r="M55" i="1"/>
  <c r="P55" i="1" s="1"/>
  <c r="M50" i="1"/>
  <c r="P50" i="1" s="1"/>
  <c r="Q41" i="1"/>
  <c r="R41" i="1" s="1"/>
  <c r="M22" i="1"/>
  <c r="P22" i="1" s="1"/>
  <c r="M23" i="1"/>
  <c r="P23" i="1" s="1"/>
  <c r="M27" i="1"/>
  <c r="P27" i="1" s="1"/>
  <c r="M12" i="1"/>
  <c r="P12" i="1" s="1"/>
  <c r="Q15" i="1"/>
  <c r="R15" i="1" s="1"/>
  <c r="M66" i="1"/>
  <c r="P66" i="1" s="1"/>
  <c r="M37" i="1"/>
  <c r="P37" i="1" s="1"/>
  <c r="M41" i="1"/>
  <c r="P41" i="1" s="1"/>
  <c r="Q28" i="1"/>
  <c r="R28" i="1" s="1"/>
  <c r="T28" i="1" s="1"/>
  <c r="Q71" i="1"/>
  <c r="R71" i="1" s="1"/>
  <c r="M54" i="1"/>
  <c r="P54" i="1" s="1"/>
  <c r="M65" i="1"/>
  <c r="P65" i="1" s="1"/>
  <c r="M46" i="1"/>
  <c r="P46" i="1" s="1"/>
  <c r="Q32" i="1"/>
  <c r="R32" i="1" s="1"/>
  <c r="T32" i="1" s="1"/>
  <c r="Q53" i="1"/>
  <c r="R53" i="1" s="1"/>
  <c r="Q54" i="1"/>
  <c r="R54" i="1" s="1"/>
  <c r="Y23" i="1"/>
  <c r="Q38" i="1"/>
  <c r="R38" i="1" s="1"/>
  <c r="M51" i="1"/>
  <c r="P51" i="1" s="1"/>
  <c r="Q44" i="1"/>
  <c r="R44" i="1" s="1"/>
  <c r="M42" i="1"/>
  <c r="P42" i="1" s="1"/>
  <c r="Q45" i="1"/>
  <c r="R45" i="1" s="1"/>
  <c r="T45" i="1" s="1"/>
  <c r="Q64" i="1"/>
  <c r="R64" i="1" s="1"/>
  <c r="M28" i="1"/>
  <c r="P28" i="1" s="1"/>
  <c r="Q16" i="1"/>
  <c r="R16" i="1" s="1"/>
  <c r="M40" i="1"/>
  <c r="P40" i="1" s="1"/>
  <c r="M21" i="1"/>
  <c r="P21" i="1" s="1"/>
  <c r="Q31" i="1"/>
  <c r="R31" i="1" s="1"/>
  <c r="T31" i="1" s="1"/>
  <c r="Q12" i="1"/>
  <c r="R12" i="1" s="1"/>
  <c r="T12" i="1" s="1"/>
  <c r="Y65" i="1"/>
  <c r="Y62" i="1"/>
  <c r="M20" i="1"/>
  <c r="P20" i="1" s="1"/>
  <c r="Q22" i="1"/>
  <c r="R22" i="1" s="1"/>
  <c r="T22" i="1" s="1"/>
  <c r="Q24" i="1"/>
  <c r="R24" i="1" s="1"/>
  <c r="Q62" i="1"/>
  <c r="R62" i="1" s="1"/>
  <c r="Y37" i="1"/>
  <c r="Q60" i="1"/>
  <c r="R60" i="1" s="1"/>
  <c r="Q20" i="1"/>
  <c r="R20" i="1" s="1"/>
  <c r="Q21" i="1"/>
  <c r="R21" i="1" s="1"/>
  <c r="Q9" i="1"/>
  <c r="R9" i="1" s="1"/>
  <c r="Q17" i="1"/>
  <c r="R17" i="1" s="1"/>
  <c r="Q42" i="1"/>
  <c r="R42" i="1" s="1"/>
  <c r="Y17" i="1"/>
  <c r="M29" i="1"/>
  <c r="P29" i="1" s="1"/>
  <c r="M48" i="1"/>
  <c r="P48" i="1" s="1"/>
  <c r="M53" i="1"/>
  <c r="P53" i="1" s="1"/>
  <c r="M36" i="1"/>
  <c r="P36" i="1" s="1"/>
  <c r="M16" i="1"/>
  <c r="P16" i="1" s="1"/>
  <c r="Y60" i="1"/>
  <c r="Q59" i="1"/>
  <c r="R59" i="1" s="1"/>
  <c r="T59" i="1" s="1"/>
  <c r="M60" i="1"/>
  <c r="P60" i="1" s="1"/>
  <c r="M61" i="1"/>
  <c r="P61" i="1" s="1"/>
  <c r="Y51" i="1"/>
  <c r="Q61" i="1"/>
  <c r="R61" i="1" s="1"/>
  <c r="Q35" i="1"/>
  <c r="R35" i="1" s="1"/>
  <c r="Y15" i="1"/>
  <c r="Q57" i="1"/>
  <c r="R57" i="1" s="1"/>
  <c r="M44" i="1"/>
  <c r="P44" i="1" s="1"/>
  <c r="Q51" i="1"/>
  <c r="R51" i="1" s="1"/>
  <c r="M31" i="1"/>
  <c r="P31" i="1" s="1"/>
  <c r="Q39" i="1"/>
  <c r="R39" i="1" s="1"/>
  <c r="T39" i="1" s="1"/>
  <c r="M45" i="1"/>
  <c r="P45" i="1" s="1"/>
  <c r="M47" i="1"/>
  <c r="P47" i="1" s="1"/>
  <c r="Q40" i="1"/>
  <c r="R40" i="1" s="1"/>
  <c r="Q27" i="1"/>
  <c r="R27" i="1" s="1"/>
  <c r="M33" i="1"/>
  <c r="P33" i="1" s="1"/>
  <c r="M52" i="1"/>
  <c r="P52" i="1" s="1"/>
  <c r="Y9" i="1"/>
  <c r="Q13" i="1"/>
  <c r="R13" i="1" s="1"/>
  <c r="T13" i="1" s="1"/>
  <c r="M35" i="1"/>
  <c r="P35" i="1" s="1"/>
  <c r="Y44" i="1"/>
  <c r="Q14" i="1"/>
  <c r="R14" i="1" s="1"/>
  <c r="Y27" i="1"/>
  <c r="M38" i="1"/>
  <c r="P38" i="1" s="1"/>
  <c r="Q2" i="1"/>
  <c r="R2" i="1" s="1"/>
  <c r="Y28" i="1"/>
  <c r="M70" i="1"/>
  <c r="P70" i="1" s="1"/>
  <c r="Q33" i="1"/>
  <c r="R33" i="1" s="1"/>
  <c r="M59" i="1"/>
  <c r="P59" i="1" s="1"/>
  <c r="M17" i="1"/>
  <c r="P17" i="1" s="1"/>
  <c r="M69" i="1"/>
  <c r="P69" i="1" s="1"/>
  <c r="Q52" i="1"/>
  <c r="R52" i="1" s="1"/>
  <c r="Q66" i="1"/>
  <c r="R66" i="1" s="1"/>
  <c r="Q56" i="1"/>
  <c r="R56" i="1" s="1"/>
  <c r="M39" i="1"/>
  <c r="P39" i="1" s="1"/>
  <c r="Q69" i="1"/>
  <c r="R69" i="1" s="1"/>
  <c r="T69" i="1" s="1"/>
  <c r="Q37" i="1"/>
  <c r="R37" i="1" s="1"/>
  <c r="M26" i="1"/>
  <c r="P26" i="1" s="1"/>
  <c r="Q36" i="1"/>
  <c r="R36" i="1" s="1"/>
  <c r="Y56" i="1"/>
  <c r="Q70" i="1"/>
  <c r="R70" i="1" s="1"/>
  <c r="T70" i="1" s="1"/>
  <c r="Y16" i="1"/>
  <c r="M30" i="1"/>
  <c r="P30" i="1" s="1"/>
  <c r="M57" i="1"/>
  <c r="P57" i="1" s="1"/>
  <c r="Q26" i="1"/>
  <c r="R26" i="1" s="1"/>
  <c r="M32" i="1"/>
  <c r="P32" i="1" s="1"/>
  <c r="Q68" i="1"/>
  <c r="R68" i="1" s="1"/>
  <c r="T68" i="1" s="1"/>
  <c r="M13" i="1"/>
  <c r="P13" i="1" s="1"/>
  <c r="Q63" i="1"/>
  <c r="R63" i="1" s="1"/>
  <c r="T63" i="1" s="1"/>
  <c r="M63" i="1"/>
  <c r="P63" i="1" s="1"/>
  <c r="Y45" i="1"/>
  <c r="Q29" i="1"/>
  <c r="R29" i="1" s="1"/>
  <c r="T29" i="1" s="1"/>
  <c r="M68" i="1"/>
  <c r="P68" i="1" s="1"/>
  <c r="Y2" i="1"/>
  <c r="Q50" i="1"/>
  <c r="R50" i="1" s="1"/>
  <c r="M11" i="1"/>
  <c r="P11" i="1" s="1"/>
  <c r="Q30" i="1"/>
  <c r="R30" i="1" s="1"/>
  <c r="T30" i="1" s="1"/>
  <c r="M71" i="1"/>
  <c r="P71" i="1" s="1"/>
  <c r="Q48" i="1"/>
  <c r="R48" i="1" s="1"/>
  <c r="T48" i="1" s="1"/>
  <c r="M5" i="1"/>
  <c r="P5" i="1" s="1"/>
  <c r="M9" i="1"/>
  <c r="P9" i="1" s="1"/>
  <c r="M2" i="1"/>
  <c r="P2" i="1" s="1"/>
  <c r="Y50" i="1"/>
  <c r="M8" i="1"/>
  <c r="P8" i="1" s="1"/>
  <c r="Q8" i="1"/>
  <c r="R8" i="1" s="1"/>
  <c r="Q3" i="1"/>
  <c r="R3" i="1" s="1"/>
  <c r="T3" i="1" s="1"/>
  <c r="Q4" i="1"/>
  <c r="R4" i="1" s="1"/>
  <c r="T4" i="1" s="1"/>
  <c r="M3" i="1"/>
  <c r="P3" i="1" s="1"/>
  <c r="M7" i="1"/>
  <c r="P7" i="1" s="1"/>
  <c r="M4" i="1"/>
  <c r="P4" i="1" s="1"/>
  <c r="M6" i="1"/>
  <c r="P6" i="1" s="1"/>
  <c r="Q5" i="1"/>
  <c r="R5" i="1" s="1"/>
  <c r="Q7" i="1"/>
  <c r="R7" i="1" s="1"/>
  <c r="Q6" i="1"/>
  <c r="R6" i="1" s="1"/>
  <c r="S23" i="1" l="1"/>
  <c r="S46" i="1"/>
  <c r="S44" i="1"/>
  <c r="T44" i="1"/>
  <c r="S21" i="1"/>
  <c r="T21" i="1"/>
  <c r="S57" i="1"/>
  <c r="T57" i="1"/>
  <c r="S54" i="1"/>
  <c r="T54" i="1"/>
  <c r="S62" i="1"/>
  <c r="T62" i="1"/>
  <c r="S51" i="1"/>
  <c r="T51" i="1"/>
  <c r="S8" i="1"/>
  <c r="T8" i="1"/>
  <c r="S24" i="1"/>
  <c r="T24" i="1"/>
  <c r="S9" i="1"/>
  <c r="T9" i="1"/>
  <c r="S33" i="1"/>
  <c r="T33" i="1"/>
  <c r="S35" i="1"/>
  <c r="T35" i="1"/>
  <c r="S61" i="1"/>
  <c r="T61" i="1"/>
  <c r="S36" i="1"/>
  <c r="T36" i="1"/>
  <c r="S37" i="1"/>
  <c r="T37" i="1"/>
  <c r="S27" i="1"/>
  <c r="T27" i="1"/>
  <c r="S6" i="1"/>
  <c r="T6" i="1"/>
  <c r="S56" i="1"/>
  <c r="T56" i="1"/>
  <c r="S40" i="1"/>
  <c r="T40" i="1"/>
  <c r="S41" i="1"/>
  <c r="T41" i="1"/>
  <c r="S2" i="1"/>
  <c r="T2" i="1"/>
  <c r="S11" i="1"/>
  <c r="T11" i="1"/>
  <c r="S50" i="1"/>
  <c r="T50" i="1"/>
  <c r="S7" i="1"/>
  <c r="T7" i="1"/>
  <c r="S66" i="1"/>
  <c r="T66" i="1"/>
  <c r="S64" i="1"/>
  <c r="T64" i="1"/>
  <c r="S38" i="1"/>
  <c r="T38" i="1"/>
  <c r="S60" i="1"/>
  <c r="T60" i="1"/>
  <c r="S53" i="1"/>
  <c r="T53" i="1"/>
  <c r="S18" i="1"/>
  <c r="T18" i="1"/>
  <c r="S16" i="1"/>
  <c r="T16" i="1"/>
  <c r="S5" i="1"/>
  <c r="T5" i="1"/>
  <c r="S52" i="1"/>
  <c r="T52" i="1"/>
  <c r="S42" i="1"/>
  <c r="T42" i="1"/>
  <c r="S20" i="1"/>
  <c r="T20" i="1"/>
  <c r="S65" i="1"/>
  <c r="T65" i="1"/>
  <c r="S26" i="1"/>
  <c r="T26" i="1"/>
  <c r="S14" i="1"/>
  <c r="T14" i="1"/>
  <c r="S71" i="1"/>
  <c r="T71" i="1"/>
  <c r="S15" i="1"/>
  <c r="T15" i="1"/>
  <c r="S17" i="1"/>
  <c r="T17" i="1"/>
  <c r="S45" i="1"/>
  <c r="S63" i="1"/>
  <c r="S4" i="1"/>
  <c r="S3" i="1"/>
  <c r="S22" i="1"/>
  <c r="S70" i="1"/>
  <c r="S59" i="1"/>
  <c r="S29" i="1"/>
  <c r="S39" i="1"/>
  <c r="S68" i="1"/>
  <c r="S32" i="1"/>
  <c r="S55" i="1"/>
  <c r="S48" i="1"/>
  <c r="S13" i="1"/>
  <c r="S12" i="1"/>
  <c r="S28" i="1"/>
  <c r="S31" i="1"/>
  <c r="S47" i="1"/>
  <c r="S30" i="1"/>
  <c r="S69" i="1"/>
</calcChain>
</file>

<file path=xl/sharedStrings.xml><?xml version="1.0" encoding="utf-8"?>
<sst xmlns="http://schemas.openxmlformats.org/spreadsheetml/2006/main" count="409" uniqueCount="105">
  <si>
    <t>Groupe</t>
  </si>
  <si>
    <t>Sharks Id</t>
  </si>
  <si>
    <t>Sex</t>
  </si>
  <si>
    <t>Tank</t>
  </si>
  <si>
    <t>week</t>
  </si>
  <si>
    <t>eggs_presence</t>
  </si>
  <si>
    <t>Eggs</t>
  </si>
  <si>
    <t>[Cells] c/ml</t>
  </si>
  <si>
    <t>Winter</t>
  </si>
  <si>
    <t>A5-A F1</t>
  </si>
  <si>
    <t>Female</t>
  </si>
  <si>
    <t>A5-A</t>
  </si>
  <si>
    <t>Yes</t>
  </si>
  <si>
    <t>A5-A F2</t>
  </si>
  <si>
    <t>A5-A M1</t>
  </si>
  <si>
    <t>Male</t>
  </si>
  <si>
    <t>NA</t>
  </si>
  <si>
    <t>A5-A M2</t>
  </si>
  <si>
    <t>A4-A F1</t>
  </si>
  <si>
    <t>A4-A</t>
  </si>
  <si>
    <t>No</t>
  </si>
  <si>
    <t>A4- A F2</t>
  </si>
  <si>
    <t>A4- A M1</t>
  </si>
  <si>
    <t>A4- A M2</t>
  </si>
  <si>
    <t>B5-F1</t>
  </si>
  <si>
    <t>B5</t>
  </si>
  <si>
    <t>B5-F2</t>
  </si>
  <si>
    <t>B5- M1</t>
  </si>
  <si>
    <t>B5- M2</t>
  </si>
  <si>
    <t>B4-F1</t>
  </si>
  <si>
    <t>B4</t>
  </si>
  <si>
    <t>B4-F2</t>
  </si>
  <si>
    <t>B4- M1</t>
  </si>
  <si>
    <t xml:space="preserve">Male </t>
  </si>
  <si>
    <t>B4-M2</t>
  </si>
  <si>
    <t>Summer</t>
  </si>
  <si>
    <t>A5-B F1</t>
  </si>
  <si>
    <t>A5-B</t>
  </si>
  <si>
    <t>A5-B-F2</t>
  </si>
  <si>
    <t>A5-B- M1</t>
  </si>
  <si>
    <t>A5-B M2</t>
  </si>
  <si>
    <t>A4-B M1</t>
  </si>
  <si>
    <t xml:space="preserve"> Male</t>
  </si>
  <si>
    <t>A4-B</t>
  </si>
  <si>
    <t>0 (just laid)</t>
  </si>
  <si>
    <t xml:space="preserve">NA </t>
  </si>
  <si>
    <t>Rbc_count</t>
  </si>
  <si>
    <t>Rbc%</t>
  </si>
  <si>
    <t>[Rbc]</t>
  </si>
  <si>
    <t>granulocyte%</t>
  </si>
  <si>
    <t>Lympho_count</t>
  </si>
  <si>
    <t>Lymoph%</t>
  </si>
  <si>
    <t>[Lympho]</t>
  </si>
  <si>
    <t>Thrombo%</t>
  </si>
  <si>
    <t>Thrombo_count</t>
  </si>
  <si>
    <t>[Thrombo]</t>
  </si>
  <si>
    <t>GT_count</t>
  </si>
  <si>
    <t>GT%</t>
  </si>
  <si>
    <t>[GT]</t>
  </si>
  <si>
    <t>CE_count</t>
  </si>
  <si>
    <t>CE%</t>
  </si>
  <si>
    <t>[CE]</t>
  </si>
  <si>
    <t>FE_count</t>
  </si>
  <si>
    <t>FE%</t>
  </si>
  <si>
    <t>[FE]</t>
  </si>
  <si>
    <t>Neutro_count</t>
  </si>
  <si>
    <t>Neutro%</t>
  </si>
  <si>
    <t>[Neutro]</t>
  </si>
  <si>
    <t>Basophil_count</t>
  </si>
  <si>
    <t>Basophil%</t>
  </si>
  <si>
    <t>[Basophil]</t>
  </si>
  <si>
    <t>immature_count</t>
  </si>
  <si>
    <t>immature%</t>
  </si>
  <si>
    <t>[immature]</t>
  </si>
  <si>
    <t>mitosis_count</t>
  </si>
  <si>
    <t>mitosis%</t>
  </si>
  <si>
    <t>[mitosis]</t>
  </si>
  <si>
    <t>wbc%</t>
  </si>
  <si>
    <t>Monocyte_count</t>
  </si>
  <si>
    <t>Monocyte%</t>
  </si>
  <si>
    <t>[Monocyte]</t>
  </si>
  <si>
    <t>Abnormal_count</t>
  </si>
  <si>
    <t>abnormal%</t>
  </si>
  <si>
    <t>[abnormal]</t>
  </si>
  <si>
    <t>[wbc]</t>
  </si>
  <si>
    <t>total count</t>
  </si>
  <si>
    <t>L:G</t>
  </si>
  <si>
    <t>[Granulocyte]</t>
  </si>
  <si>
    <t>rbc:wbc</t>
  </si>
  <si>
    <t>granulocyte_wbc%</t>
  </si>
  <si>
    <t>Lympho_wbc%</t>
  </si>
  <si>
    <t>GT_wbc%</t>
  </si>
  <si>
    <t>FE_wbc%</t>
  </si>
  <si>
    <t>CE_wbc%</t>
  </si>
  <si>
    <t>Neutro_wbc%</t>
  </si>
  <si>
    <t>Monocyte_wbc%</t>
  </si>
  <si>
    <t>basophil_wbc%</t>
  </si>
  <si>
    <t>Monocyte_wbc_noGT%</t>
  </si>
  <si>
    <t>basophil_wbc_noG%</t>
  </si>
  <si>
    <t>Neutro_wbc_noGT%</t>
  </si>
  <si>
    <t>CE_wbc_noGT%</t>
  </si>
  <si>
    <t>FE_wbc_noGT%</t>
  </si>
  <si>
    <t>Lympho_wbc_noGT%</t>
  </si>
  <si>
    <t>Granulocyte_wbc_noGT%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</si>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</sst>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 applyAlignment="1">
      <alignment wrapText="1"/>
    </xf>
    <xf numFmtId="1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0" fontId="0" fillId="0" borderId="0" xfId="0" applyNumberFormat="1" applyAlignment="1">
      <alignment wrapText="1"/>
    </xf>
    <xf numFmtId="11" fontId="0" fillId="0" borderId="0" xfId="0" applyNumberFormat="1"/>
    <xf numFmtId="2" fontId="0" fillId="0" borderId="0" xfId="0" applyNumberForma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68">
    <dxf>
      <numFmt numFmtId="15" formatCode="0.00E+00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5" formatCode="0.00E+00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5" formatCode="0.00E+00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5" formatCode="0.00E+00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5" formatCode="0.00E+00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15" formatCode="0.00E+00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5" formatCode="0.00E+00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5" formatCode="0.00E+00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5" formatCode="0.00E+00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5" formatCode="0.00E+00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5" formatCode="0.00E+00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15" formatCode="0.00E+00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numFmt numFmtId="15" formatCode="0.00E+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numFmt numFmtId="15" formatCode="0.00E+00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E09419-576F-4949-A0A0-ED0DE11FD8CF}" name="Table1" displayName="Table1" ref="A1:BN74" totalsRowShown="0" headerRowDxfId="67" dataDxfId="66">
  <autoFilter ref="A1:BN74" xr:uid="{33E09419-576F-4949-A0A0-ED0DE11FD8CF}"/>
  <tableColumns count="66">
    <tableColumn id="1" xr3:uid="{8F6031F6-B974-4C52-B43A-58F3631F4ECF}" name="Groupe" dataDxfId="65"/>
    <tableColumn id="2" xr3:uid="{79CD0949-3F8B-41F5-89A0-76631EDC5316}" name="Sharks Id" dataDxfId="64"/>
    <tableColumn id="3" xr3:uid="{A9F9D8DE-549D-4B25-9520-B0DFC9149E7F}" name="Sex" dataDxfId="63"/>
    <tableColumn id="4" xr3:uid="{8E6B457B-B22E-46E7-B267-70B5734AF4BF}" name="Tank" dataDxfId="62"/>
    <tableColumn id="5" xr3:uid="{19B03147-68D2-42AA-AB7A-632D056A8EDF}" name="week" dataDxfId="61"/>
    <tableColumn id="7" xr3:uid="{5D7A3E33-A0BF-48CE-944D-F8166688DFAA}" name="eggs_presence" dataDxfId="60"/>
    <tableColumn id="8" xr3:uid="{DA3950C2-A7FF-4140-8BD8-574228404064}" name="Eggs" dataDxfId="59"/>
    <tableColumn id="9" xr3:uid="{3257EC55-BF3E-47D7-BD81-F97C354CE8CA}" name="[Cells] c/ml" dataDxfId="58"/>
    <tableColumn id="6" xr3:uid="{39566963-C37D-4EB0-B87E-4330EE6DA06E}" name="total count" dataDxfId="57">
      <calculatedColumnFormula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calculatedColumnFormula>
    </tableColumn>
    <tableColumn id="10" xr3:uid="{85AB6310-12CB-47C4-A258-598A53DD6CB3}" name="Rbc_count" dataDxfId="56"/>
    <tableColumn id="11" xr3:uid="{239E84F6-53F6-454F-AC24-ADDAE86228F8}" name="Rbc%" dataDxfId="55">
      <calculatedColumnFormula>J2/SUM(J2+U2,Z2,AC2,AG2,AL2,AQ2,BA2,BF2,BI2)</calculatedColumnFormula>
    </tableColumn>
    <tableColumn id="12" xr3:uid="{26BF6DA7-BEA5-4997-81F8-F811AF092FCD}" name="[Rbc]" dataDxfId="54">
      <calculatedColumnFormula>Table1[[#This Row],['[Cells'] c/ml]]*Table1[[#This Row],[Rbc%]]</calculatedColumnFormula>
    </tableColumn>
    <tableColumn id="13" xr3:uid="{BE7444D4-D004-49CF-A4BB-7A1341916993}" name="granulocyte%" dataDxfId="53">
      <calculatedColumnFormula>SUM(Table1[[#This Row],[Lymoph%]],Table1[[#This Row],[FE%]],Table1[[#This Row],[GT%]],Table1[[#This Row],[CE%]],Table1[[#This Row],[Neutro%]],Table1[[#This Row],[Basophil%]])</calculatedColumnFormula>
    </tableColumn>
    <tableColumn id="52" xr3:uid="{59C1FF54-ED95-4C38-80FD-2DFF061B9B1F}" name="granulocyte_wbc%" dataDxfId="52">
      <calculatedColumnFormula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calculatedColumnFormula>
    </tableColumn>
    <tableColumn id="66" xr3:uid="{301CC836-B5F4-4B1B-AD99-3168981C7F06}" name="Granulocyte_wbc_noGT%" dataDxfId="51">
      <calculatedColumnFormula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calculatedColumnFormula>
    </tableColumn>
    <tableColumn id="50" xr3:uid="{C51D602A-4788-4D16-82EC-234DF7413C39}" name="[Granulocyte]" dataDxfId="50">
      <calculatedColumnFormula>Table1[[#This Row],['[Cells'] c/ml]]*Table1[[#This Row],[granulocyte%]]</calculatedColumnFormula>
    </tableColumn>
    <tableColumn id="42" xr3:uid="{F621C46B-77CA-4487-9EF9-9A4A473878C7}" name="wbc%" dataDxfId="49">
      <calculatedColumnFormula>SUM(Table1[[#This Row],[Lymoph%]],Table1[[#This Row],[GT%]],Table1[[#This Row],[FE%]],Table1[[#This Row],[CE%]],Table1[[#This Row],[Neutro%]],Table1[[#This Row],[Basophil%]],Table1[[#This Row],[Monocyte%]])</calculatedColumnFormula>
    </tableColumn>
    <tableColumn id="48" xr3:uid="{608D59B7-C714-4032-99D4-9F7AF5A8D5D2}" name="[wbc]" dataDxfId="48">
      <calculatedColumnFormula>Table1[[#This Row],['[Cells'] c/ml]]*Table1[[#This Row],[wbc%]]</calculatedColumnFormula>
    </tableColumn>
    <tableColumn id="49" xr3:uid="{AD6F34EF-7E81-466A-8F71-8348EF0244A0}" name="L:G" dataDxfId="47">
      <calculatedColumnFormula>Table1[[#This Row],['[wbc']]]/Table1[[#This Row],['[Granulocyte']]]</calculatedColumnFormula>
    </tableColumn>
    <tableColumn id="51" xr3:uid="{58341FAB-04E7-437C-A56D-4C0699477A60}" name="rbc:wbc" dataDxfId="46">
      <calculatedColumnFormula>Table1[[#This Row],['[Rbc']]]/Table1[[#This Row],['[wbc']]]</calculatedColumnFormula>
    </tableColumn>
    <tableColumn id="14" xr3:uid="{52AFD213-BA20-4009-A83F-E35F0A86722D}" name="Lympho_count" dataDxfId="45"/>
    <tableColumn id="15" xr3:uid="{07ACD129-4532-46CA-85D5-3A4F17BF52A7}" name="Lymoph%" dataDxfId="44">
      <calculatedColumnFormula>Table1[[#This Row],[Lympho_count]]/Table1[[#This Row],[Rbc_count]]</calculatedColumnFormula>
    </tableColumn>
    <tableColumn id="53" xr3:uid="{FAEA9057-86AA-4C93-8CB0-E642E8C0CDB0}" name="Lympho_wbc%" dataDxfId="43">
      <calculatedColumnFormula>Table1[[#This Row],[Lympho_count]]/(Table1[[#This Row],[Lympho_count]]+Table1[[#This Row],[GT_count]]+Table1[[#This Row],[FE_count]]+Table1[[#This Row],[CE_count]]+Table1[[#This Row],[Neutro_count]]+Table1[[#This Row],[Monocyte_count]]+Table1[[#This Row],[Basophil_count]])</calculatedColumnFormula>
    </tableColumn>
    <tableColumn id="65" xr3:uid="{02A7ECEF-E22B-487B-A06D-E36C80DE32A2}" name="Lympho_wbc_noGT%" dataDxfId="42">
      <calculatedColumnFormula>Table1[[#This Row],[Lympho_count]]/(Table1[[#This Row],[Lympho_count]]+Table1[[#This Row],[FE_count]]+Table1[[#This Row],[CE_count]]+Table1[[#This Row],[Neutro_count]]+Table1[[#This Row],[Monocyte_count]]+Table1[[#This Row],[Basophil_count]])</calculatedColumnFormula>
    </tableColumn>
    <tableColumn id="16" xr3:uid="{CBCB4CE6-6BF6-4939-B1FD-F2F1101335C8}" name="[Lympho]" dataDxfId="41">
      <calculatedColumnFormula>Table1[[#This Row],['[Cells'] c/ml]]*Table1[[#This Row],[Lymoph%]]</calculatedColumnFormula>
    </tableColumn>
    <tableColumn id="17" xr3:uid="{076A63D1-6CCB-41C3-BB51-B8B12C3F9B20}" name="Thrombo_count" dataDxfId="40"/>
    <tableColumn id="18" xr3:uid="{C8A3A40C-2D16-40A8-80A3-22DE4ABA27F0}" name="Thrombo%" dataDxfId="39">
      <calculatedColumnFormula>Table1[[#This Row],[Thrombo_count]]/Table1[[#This Row],[Rbc_count]]</calculatedColumnFormula>
    </tableColumn>
    <tableColumn id="19" xr3:uid="{CB9FDB59-CBA5-452F-981C-8D95376662F5}" name="[Thrombo]" dataDxfId="38">
      <calculatedColumnFormula>Table1[[#This Row],['[Cells'] c/ml]]*Table1[[#This Row],[Thrombo%]]</calculatedColumnFormula>
    </tableColumn>
    <tableColumn id="20" xr3:uid="{7EB5C3E2-9278-4B89-8B15-FD99312628D3}" name="GT_count" dataDxfId="37"/>
    <tableColumn id="21" xr3:uid="{E3E0B945-092A-4105-BA80-D1847B4F1AF6}" name="GT%" dataDxfId="36">
      <calculatedColumnFormula>Table1[[#This Row],[GT_count]]/Table1[[#This Row],[Rbc_count]]</calculatedColumnFormula>
    </tableColumn>
    <tableColumn id="54" xr3:uid="{9CBD6CDB-8C31-4FE3-9509-1034B4243974}" name="GT_wbc%" dataDxfId="35">
      <calculatedColumnFormula>Table1[[#This Row],[GT_count]]/(Table1[[#This Row],[Lympho_count]]+Table1[[#This Row],[GT_count]]+Table1[[#This Row],[FE_count]]+Table1[[#This Row],[CE_count]]+Table1[[#This Row],[Neutro_count]]+Table1[[#This Row],[Monocyte_count]]+Table1[[#This Row],[Basophil_count]])</calculatedColumnFormula>
    </tableColumn>
    <tableColumn id="22" xr3:uid="{FF4E2C61-01CB-47BF-B799-CE0700DBC3E0}" name="[GT]" dataDxfId="34">
      <calculatedColumnFormula>Table1[[#This Row],['[Cells'] c/ml]]*Table1[[#This Row],[GT%]]</calculatedColumnFormula>
    </tableColumn>
    <tableColumn id="23" xr3:uid="{17D5C8AB-1A2C-4B72-831E-7975865EBE3C}" name="FE_count" dataDxfId="33"/>
    <tableColumn id="24" xr3:uid="{1BD14DCE-A6AD-4190-B296-A4B279A0F63D}" name="FE%" dataDxfId="32">
      <calculatedColumnFormula>Table1[[#This Row],[FE_count]]/Table1[[#This Row],[Rbc_count]]</calculatedColumnFormula>
    </tableColumn>
    <tableColumn id="55" xr3:uid="{EF250127-91E3-4F5A-9B73-EBE419478DE8}" name="FE_wbc%" dataDxfId="31">
      <calculatedColumnFormula>Table1[[#This Row],[FE_count]]/(Table1[[#This Row],[Lympho_count]]+Table1[[#This Row],[GT_count]]+Table1[[#This Row],[FE_count]]+Table1[[#This Row],[CE_count]]+Table1[[#This Row],[Neutro_count]]+Table1[[#This Row],[Monocyte_count]]+Table1[[#This Row],[Basophil_count]])</calculatedColumnFormula>
    </tableColumn>
    <tableColumn id="64" xr3:uid="{7D71A6C1-B9F0-4264-B279-5E3C8AA4AD8A}" name="FE_wbc_noGT%" dataDxfId="30">
      <calculatedColumnFormula>Table1[[#This Row],[FE_count]]/(Table1[[#This Row],[Lympho_count]]+Table1[[#This Row],[FE_count]]+Table1[[#This Row],[CE_count]]+Table1[[#This Row],[Neutro_count]]+Table1[[#This Row],[Monocyte_count]]+Table1[[#This Row],[Basophil_count]])</calculatedColumnFormula>
    </tableColumn>
    <tableColumn id="25" xr3:uid="{1EC38B97-2E11-4FC5-9752-AF8A332AD2E0}" name="[FE]" dataDxfId="29">
      <calculatedColumnFormula>Table1[[#This Row],['[Cells'] c/ml]]*Table1[[#This Row],[FE%]]</calculatedColumnFormula>
    </tableColumn>
    <tableColumn id="26" xr3:uid="{84895544-AEAD-4A95-9E28-6A0AF04CE1FA}" name="CE_count" dataDxfId="28"/>
    <tableColumn id="27" xr3:uid="{8690026E-ED4F-40B7-9E7D-9C0E0BE6D9E7}" name="CE%" dataDxfId="27">
      <calculatedColumnFormula>Table1[[#This Row],[CE_count]]/Table1[[#This Row],[Rbc_count]]</calculatedColumnFormula>
    </tableColumn>
    <tableColumn id="56" xr3:uid="{F5F2A765-A52F-463F-8E8E-7E26AE1EB464}" name="CE_wbc%" dataDxfId="26">
      <calculatedColumnFormula>Table1[[#This Row],[CE_count]]/(Table1[[#This Row],[Lympho_count]]+Table1[[#This Row],[GT_count]]+Table1[[#This Row],[FE_count]]+Table1[[#This Row],[CE_count]]+Table1[[#This Row],[Neutro_count]]+Table1[[#This Row],[Monocyte_count]]+Table1[[#This Row],[Basophil_count]])</calculatedColumnFormula>
    </tableColumn>
    <tableColumn id="63" xr3:uid="{58FE38CA-EB65-4A64-BA3D-73B2FD74B12C}" name="CE_wbc_noGT%" dataDxfId="25">
      <calculatedColumnFormula>Table1[[#This Row],[CE_count]]/(Table1[[#This Row],[Lympho_count]]+Table1[[#This Row],[FE_count]]+Table1[[#This Row],[CE_count]]+Table1[[#This Row],[Neutro_count]]+Table1[[#This Row],[Monocyte_count]]+Table1[[#This Row],[Basophil_count]])</calculatedColumnFormula>
    </tableColumn>
    <tableColumn id="28" xr3:uid="{92886324-1CA8-4995-B8CF-1314800EFC58}" name="[CE]" dataDxfId="24">
      <calculatedColumnFormula>Table1[[#This Row],['[Cells'] c/ml]]*Table1[[#This Row],[CE%]]</calculatedColumnFormula>
    </tableColumn>
    <tableColumn id="29" xr3:uid="{C43114E3-348C-435B-BC33-8CC8C851FFD9}" name="Neutro_count" dataDxfId="23"/>
    <tableColumn id="30" xr3:uid="{4E520DD4-A876-4FFD-B29C-37E99AD4B6FA}" name="Neutro%" dataDxfId="22">
      <calculatedColumnFormula>Table1[[#This Row],[Neutro_count]]/Table1[[#This Row],[Rbc_count]]</calculatedColumnFormula>
    </tableColumn>
    <tableColumn id="57" xr3:uid="{5868B201-5784-4440-A1E9-F29A2C18464F}" name="Neutro_wbc%" dataDxfId="21">
      <calculatedColumnFormula>Table1[[#This Row],[Neutro_count]]/(Table1[[#This Row],[Lympho_count]]+Table1[[#This Row],[GT_count]]+Table1[[#This Row],[FE_count]]+Table1[[#This Row],[CE_count]]+Table1[[#This Row],[Neutro_count]]+Table1[[#This Row],[Monocyte_count]]+Table1[[#This Row],[Basophil_count]])</calculatedColumnFormula>
    </tableColumn>
    <tableColumn id="62" xr3:uid="{934B377A-6A18-44F5-A3D4-1C81F0D38C83}" name="Neutro_wbc_noGT%" dataDxfId="20">
      <calculatedColumnFormula>Table1[[#This Row],[Neutro_count]]/(Table1[[#This Row],[Lympho_count]]+Table1[[#This Row],[FE_count]]+Table1[[#This Row],[CE_count]]+Table1[[#This Row],[Neutro_count]]+Table1[[#This Row],[Monocyte_count]]+Table1[[#This Row],[Basophil_count]])</calculatedColumnFormula>
    </tableColumn>
    <tableColumn id="31" xr3:uid="{1658DBB0-5B40-4726-980A-E45138C1657B}" name="[Neutro]" dataDxfId="19">
      <calculatedColumnFormula>Table1[[#This Row],['[Cells'] c/ml]]*Table1[[#This Row],[Neutro%]]</calculatedColumnFormula>
    </tableColumn>
    <tableColumn id="43" xr3:uid="{AD24F950-B943-4246-B6ED-54FA0C12378A}" name="Monocyte_count" dataDxfId="18"/>
    <tableColumn id="44" xr3:uid="{892EEB8B-2507-40FF-839A-41A9FCABF95A}" name="Monocyte%" dataDxfId="17">
      <calculatedColumnFormula>Table1[[#This Row],[Monocyte_count]]/Table1[[#This Row],[Rbc_count]]</calculatedColumnFormula>
    </tableColumn>
    <tableColumn id="58" xr3:uid="{8E903177-7018-4FE6-B20A-3A53CD806C3E}" name="Monocyte_wbc%" dataDxfId="16">
      <calculatedColumnFormula>Table1[[#This Row],[Monocyte_count]]/(Table1[[#This Row],[Lympho_count]]+Table1[[#This Row],[GT_count]]+Table1[[#This Row],[FE_count]]+Table1[[#This Row],[CE_count]]+Table1[[#This Row],[Neutro_count]]+Table1[[#This Row],[Monocyte_count]]+Table1[[#This Row],[Basophil_count]])</calculatedColumnFormula>
    </tableColumn>
    <tableColumn id="61" xr3:uid="{44341279-F997-41F4-909E-E58FE5238D1A}" name="Monocyte_wbc_noGT%" dataDxfId="15">
      <calculatedColumnFormula>Table1[[#This Row],[Monocyte_count]]/(Table1[[#This Row],[Lympho_count]]+Table1[[#This Row],[FE_count]]+Table1[[#This Row],[CE_count]]+Table1[[#This Row],[Neutro_count]]+Table1[[#This Row],[Monocyte_count]]+Table1[[#This Row],[Basophil_count]])</calculatedColumnFormula>
    </tableColumn>
    <tableColumn id="45" xr3:uid="{BB10AD8D-77B0-462A-971A-ACB872C6FE50}" name="[Monocyte]" dataDxfId="14">
      <calculatedColumnFormula>Table1[[#This Row],['[Cells'] c/ml]]*Table1[[#This Row],[Monocyte%]]</calculatedColumnFormula>
    </tableColumn>
    <tableColumn id="32" xr3:uid="{173277F2-08BE-40E6-A0A9-9D6C4D562DFC}" name="Basophil_count" dataDxfId="13"/>
    <tableColumn id="33" xr3:uid="{0A0CEFD0-D628-484A-A4C8-AFE962244269}" name="Basophil%" dataDxfId="12">
      <calculatedColumnFormula>Table1[[#This Row],[Basophil_count]]/Table1[[#This Row],[Rbc_count]]</calculatedColumnFormula>
    </tableColumn>
    <tableColumn id="59" xr3:uid="{B889B77B-14F7-49A2-97A3-7B753D904454}" name="basophil_wbc%" dataDxfId="11">
      <calculatedColumnFormula>Table1[[#This Row],[Basophil_count]]/(Table1[[#This Row],[Lympho_count]]+Table1[[#This Row],[FE_count]]+Table1[[#This Row],[CE_count]]+Table1[[#This Row],[Neutro_count]]+Table1[[#This Row],[Monocyte_count]]+Table1[[#This Row],[Basophil_count]])</calculatedColumnFormula>
    </tableColumn>
    <tableColumn id="60" xr3:uid="{6AD6D911-D9A3-4F09-B27B-9BF8149515EC}" name="basophil_wbc_noG%" dataDxfId="10"/>
    <tableColumn id="34" xr3:uid="{5ED2D3E1-6CBD-4CBF-9D57-CCAEF669E94A}" name="[Basophil]" dataDxfId="9">
      <calculatedColumnFormula>Table1[[#This Row],['[Cells'] c/ml]]*Table1[[#This Row],[Basophil%]]</calculatedColumnFormula>
    </tableColumn>
    <tableColumn id="35" xr3:uid="{707795A0-AD4A-4D33-B964-E1EFF5E19349}" name="immature_count" dataDxfId="8"/>
    <tableColumn id="36" xr3:uid="{4025519C-B516-4D7B-8019-7158731CDEE0}" name="immature%" dataDxfId="7">
      <calculatedColumnFormula>Table1[[#This Row],[immature_count]]/Table1[[#This Row],[Rbc_count]]</calculatedColumnFormula>
    </tableColumn>
    <tableColumn id="37" xr3:uid="{09A3C9B8-61C0-4AF8-A7D3-4A943F5DAF11}" name="[immature]" dataDxfId="6">
      <calculatedColumnFormula>Table1[[#This Row],['[Cells'] c/ml]]*Table1[[#This Row],[immature%]]</calculatedColumnFormula>
    </tableColumn>
    <tableColumn id="38" xr3:uid="{1F6C0E01-45D4-4A73-932F-BFAC56FB1034}" name="mitosis_count" dataDxfId="5"/>
    <tableColumn id="39" xr3:uid="{8B3660E1-080D-4208-88DA-7CAFBF2D94DD}" name="mitosis%" dataDxfId="4">
      <calculatedColumnFormula>Table1[[#This Row],[mitosis_count]]/Table1[[#This Row],[Rbc_count]]</calculatedColumnFormula>
    </tableColumn>
    <tableColumn id="40" xr3:uid="{126D261B-4BE9-4285-8965-A3A6E2D5E783}" name="[mitosis]" dataDxfId="3">
      <calculatedColumnFormula>Table1[[#This Row],['[Cells'] c/ml]]*Table1[[#This Row],[mitosis%]]</calculatedColumnFormula>
    </tableColumn>
    <tableColumn id="41" xr3:uid="{BFD4ED8A-89E6-4636-A686-B9CDB39E0480}" name="Abnormal_count" dataDxfId="2"/>
    <tableColumn id="46" xr3:uid="{9B7317AE-7CE7-4309-91B6-3AA018BB0BCA}" name="abnormal%" dataDxfId="1">
      <calculatedColumnFormula>Table1[[#This Row],[Abnormal_count]]/Table1[[#This Row],[Rbc_count]]</calculatedColumnFormula>
    </tableColumn>
    <tableColumn id="47" xr3:uid="{939F3F91-6080-4EA2-AC30-D8C1A8DB1FB8}" name="[abnormal]" dataDxfId="0">
      <calculatedColumnFormula>Table1[[#This Row],['[Cells'] c/ml]]*Table1[[#This Row],[abnormal%]]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6DF9D-13E3-4E7A-8A34-112C199ABCAE}">
  <dimension ref="A1:BN74"/>
  <sheetViews>
    <sheetView tabSelected="1" workbookViewId="0">
      <selection activeCell="H1" sqref="H1:H9"/>
    </sheetView>
  </sheetViews>
  <sheetFormatPr defaultColWidth="9.140625" defaultRowHeight="15" x14ac:dyDescent="0.25"/>
  <cols>
    <col min="1" max="1" width="9.5703125" style="1" customWidth="1"/>
    <col min="2" max="2" width="11.28515625" style="1" customWidth="1"/>
    <col min="3" max="5" width="9.140625" style="1"/>
    <col min="6" max="6" width="16" style="1" customWidth="1"/>
    <col min="7" max="7" width="9.140625" style="1"/>
    <col min="8" max="8" width="13" style="1" customWidth="1"/>
    <col min="9" max="9" width="13" style="7" customWidth="1"/>
    <col min="10" max="10" width="12.28515625" style="1" customWidth="1"/>
    <col min="11" max="11" width="11.5703125" style="1" bestFit="1" customWidth="1"/>
    <col min="12" max="12" width="9.140625" style="1"/>
    <col min="13" max="13" width="15" style="1" customWidth="1"/>
    <col min="14" max="15" width="17.42578125" style="5" customWidth="1"/>
    <col min="16" max="16" width="15" style="1" customWidth="1"/>
    <col min="17" max="17" width="15" style="4" customWidth="1"/>
    <col min="18" max="18" width="16.140625" style="1" customWidth="1"/>
    <col min="19" max="20" width="16.140625" style="7" customWidth="1"/>
    <col min="21" max="21" width="11.5703125" style="1" customWidth="1"/>
    <col min="22" max="24" width="11.140625" style="1" customWidth="1"/>
    <col min="25" max="25" width="17" style="1" customWidth="1"/>
    <col min="26" max="26" width="12.7109375" style="1" customWidth="1"/>
    <col min="27" max="27" width="12.28515625" style="1" customWidth="1"/>
    <col min="28" max="28" width="11.28515625" style="1" customWidth="1"/>
    <col min="29" max="29" width="11.5703125" style="1" bestFit="1" customWidth="1"/>
    <col min="30" max="31" width="9.140625" style="1"/>
    <col min="32" max="32" width="11.140625" style="1" customWidth="1"/>
    <col min="33" max="33" width="11.5703125" style="1" bestFit="1" customWidth="1"/>
    <col min="34" max="36" width="9.140625" style="1"/>
    <col min="37" max="37" width="11" style="1" customWidth="1"/>
    <col min="38" max="38" width="11.5703125" style="1" bestFit="1" customWidth="1"/>
    <col min="39" max="41" width="9.140625" style="1"/>
    <col min="42" max="42" width="15" style="1" customWidth="1"/>
    <col min="43" max="43" width="10.7109375" style="1" customWidth="1"/>
    <col min="44" max="51" width="10.28515625" style="1" customWidth="1"/>
    <col min="52" max="52" width="16.85546875" style="1" customWidth="1"/>
    <col min="53" max="53" width="12.5703125" style="4" customWidth="1"/>
    <col min="54" max="56" width="12.140625" style="1" customWidth="1"/>
    <col min="57" max="57" width="17.5703125" style="1" customWidth="1"/>
    <col min="58" max="58" width="13.28515625" style="4" customWidth="1"/>
    <col min="59" max="59" width="12.85546875" style="1" customWidth="1"/>
    <col min="60" max="60" width="15.5703125" style="1" customWidth="1"/>
    <col min="61" max="61" width="11.28515625" style="4" customWidth="1"/>
    <col min="62" max="62" width="10.85546875" style="1" customWidth="1"/>
    <col min="63" max="63" width="11" style="1" customWidth="1"/>
    <col min="64" max="64" width="12.42578125" style="1" customWidth="1"/>
    <col min="65" max="65" width="14.28515625" style="1" customWidth="1"/>
    <col min="66" max="16384" width="9.140625" style="1"/>
  </cols>
  <sheetData>
    <row r="1" spans="1:66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7" t="s">
        <v>85</v>
      </c>
      <c r="J1" s="1" t="s">
        <v>46</v>
      </c>
      <c r="K1" s="1" t="s">
        <v>47</v>
      </c>
      <c r="L1" s="1" t="s">
        <v>48</v>
      </c>
      <c r="M1" s="1" t="s">
        <v>49</v>
      </c>
      <c r="N1" s="5" t="s">
        <v>89</v>
      </c>
      <c r="O1" s="5" t="s">
        <v>103</v>
      </c>
      <c r="P1" s="1" t="s">
        <v>87</v>
      </c>
      <c r="Q1" s="4" t="s">
        <v>77</v>
      </c>
      <c r="R1" s="4" t="s">
        <v>84</v>
      </c>
      <c r="S1" s="7" t="s">
        <v>86</v>
      </c>
      <c r="T1" s="7" t="s">
        <v>88</v>
      </c>
      <c r="U1" s="1" t="s">
        <v>50</v>
      </c>
      <c r="V1" s="1" t="s">
        <v>51</v>
      </c>
      <c r="W1" s="1" t="s">
        <v>90</v>
      </c>
      <c r="X1" s="1" t="s">
        <v>102</v>
      </c>
      <c r="Y1" s="1" t="s">
        <v>52</v>
      </c>
      <c r="Z1" s="1" t="s">
        <v>54</v>
      </c>
      <c r="AA1" s="1" t="s">
        <v>53</v>
      </c>
      <c r="AB1" s="1" t="s">
        <v>55</v>
      </c>
      <c r="AC1" s="1" t="s">
        <v>56</v>
      </c>
      <c r="AD1" s="1" t="s">
        <v>57</v>
      </c>
      <c r="AE1" s="1" t="s">
        <v>91</v>
      </c>
      <c r="AF1" s="1" t="s">
        <v>58</v>
      </c>
      <c r="AG1" s="1" t="s">
        <v>62</v>
      </c>
      <c r="AH1" s="1" t="s">
        <v>63</v>
      </c>
      <c r="AI1" s="1" t="s">
        <v>92</v>
      </c>
      <c r="AJ1" s="1" t="s">
        <v>101</v>
      </c>
      <c r="AK1" s="1" t="s">
        <v>64</v>
      </c>
      <c r="AL1" s="1" t="s">
        <v>59</v>
      </c>
      <c r="AM1" s="1" t="s">
        <v>60</v>
      </c>
      <c r="AN1" s="1" t="s">
        <v>93</v>
      </c>
      <c r="AO1" s="1" t="s">
        <v>100</v>
      </c>
      <c r="AP1" s="1" t="s">
        <v>61</v>
      </c>
      <c r="AQ1" s="1" t="s">
        <v>65</v>
      </c>
      <c r="AR1" s="1" t="s">
        <v>66</v>
      </c>
      <c r="AS1" s="1" t="s">
        <v>94</v>
      </c>
      <c r="AT1" s="1" t="s">
        <v>99</v>
      </c>
      <c r="AU1" s="1" t="s">
        <v>67</v>
      </c>
      <c r="AV1" s="1" t="s">
        <v>78</v>
      </c>
      <c r="AW1" s="1" t="s">
        <v>79</v>
      </c>
      <c r="AX1" s="1" t="s">
        <v>95</v>
      </c>
      <c r="AY1" s="1" t="s">
        <v>97</v>
      </c>
      <c r="AZ1" s="1" t="s">
        <v>80</v>
      </c>
      <c r="BA1" s="1" t="s">
        <v>68</v>
      </c>
      <c r="BB1" s="4" t="s">
        <v>69</v>
      </c>
      <c r="BC1" s="4" t="s">
        <v>96</v>
      </c>
      <c r="BD1" s="4" t="s">
        <v>98</v>
      </c>
      <c r="BE1" s="1" t="s">
        <v>70</v>
      </c>
      <c r="BF1" s="1" t="s">
        <v>71</v>
      </c>
      <c r="BG1" s="4" t="s">
        <v>72</v>
      </c>
      <c r="BH1" s="1" t="s">
        <v>73</v>
      </c>
      <c r="BI1" s="1" t="s">
        <v>74</v>
      </c>
      <c r="BJ1" s="4" t="s">
        <v>75</v>
      </c>
      <c r="BK1" s="1" t="s">
        <v>76</v>
      </c>
      <c r="BL1" s="1" t="s">
        <v>81</v>
      </c>
      <c r="BM1" s="4" t="s">
        <v>82</v>
      </c>
      <c r="BN1" s="1" t="s">
        <v>83</v>
      </c>
    </row>
    <row r="2" spans="1:66" x14ac:dyDescent="0.25">
      <c r="A2" s="1" t="s">
        <v>8</v>
      </c>
      <c r="B2" s="1" t="s">
        <v>9</v>
      </c>
      <c r="C2" s="1" t="s">
        <v>10</v>
      </c>
      <c r="D2" s="1" t="s">
        <v>11</v>
      </c>
      <c r="E2" s="1">
        <v>4</v>
      </c>
      <c r="F2" s="3" t="s">
        <v>12</v>
      </c>
      <c r="G2" s="1">
        <v>2</v>
      </c>
      <c r="H2" s="2">
        <v>212000000</v>
      </c>
      <c r="I2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1683</v>
      </c>
      <c r="J2" s="1">
        <v>1564</v>
      </c>
      <c r="K2" s="4">
        <f t="shared" ref="K2:K9" si="0">J2/SUM(J2+U2,Z2,AC2,AG2,AL2,AQ2,BA2,BF2,BI2)</f>
        <v>0.93039857227840572</v>
      </c>
      <c r="L2" s="2">
        <f>Table1[[#This Row],['[Cells'] c/ml]]*Table1[[#This Row],[Rbc%]]</f>
        <v>197244497.32302201</v>
      </c>
      <c r="M2" s="4">
        <f>SUM(Table1[[#This Row],[Lymoph%]],Table1[[#This Row],[FE%]],Table1[[#This Row],[GT%]],Table1[[#This Row],[CE%]],Table1[[#This Row],[Neutro%]],Table1[[#This Row],[Basophil%]])</f>
        <v>4.7534165181224004E-2</v>
      </c>
      <c r="N2" s="7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27.012195121951219</v>
      </c>
      <c r="O2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24.0126582278481</v>
      </c>
      <c r="P2" s="2">
        <f>Table1[[#This Row],['[Cells'] c/ml]]*Table1[[#This Row],[granulocyte%]]</f>
        <v>10077243.018419489</v>
      </c>
      <c r="Q2" s="4">
        <f>SUM(Table1[[#This Row],[Lymoph%]],Table1[[#This Row],[GT%]],Table1[[#This Row],[FE%]],Table1[[#This Row],[CE%]],Table1[[#This Row],[Neutro%]],Table1[[#This Row],[Basophil%]],Table1[[#This Row],[Monocyte%]])</f>
        <v>4.8722519310754601E-2</v>
      </c>
      <c r="R2" s="2">
        <f>Table1[[#This Row],['[Cells'] c/ml]]*Table1[[#This Row],[wbc%]]</f>
        <v>10329174.093879975</v>
      </c>
      <c r="S2" s="7">
        <f>Table1[[#This Row],['[wbc']]]/Table1[[#This Row],['[Granulocyte']]]</f>
        <v>1.0249999999999999</v>
      </c>
      <c r="T2" s="7">
        <f>Table1[[#This Row],['[Rbc']]]/Table1[[#This Row],['[wbc']]]</f>
        <v>19.095863379811671</v>
      </c>
      <c r="U2" s="1">
        <v>52</v>
      </c>
      <c r="V2" s="4">
        <f>Table1[[#This Row],[Lympho_count]]/Table1[[#This Row],[total count]]</f>
        <v>3.0897207367795602E-2</v>
      </c>
      <c r="W2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0.63414634146341464</v>
      </c>
      <c r="X2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0.65822784810126578</v>
      </c>
      <c r="Y2" s="2">
        <f>Table1[[#This Row],['[Cells'] c/ml]]*Table1[[#This Row],[Lymoph%]]</f>
        <v>6550207.9619726678</v>
      </c>
      <c r="Z2" s="1">
        <v>37</v>
      </c>
      <c r="AA2" s="4">
        <f>Table1[[#This Row],[Thrombo_count]]/Table1[[#This Row],[total count]]</f>
        <v>2.1984551396316103E-2</v>
      </c>
      <c r="AB2" s="2">
        <f>Table1[[#This Row],['[Cells'] c/ml]]*Table1[[#This Row],[Thrombo%]]</f>
        <v>4660724.8960190136</v>
      </c>
      <c r="AC2" s="1">
        <v>3</v>
      </c>
      <c r="AD2" s="4">
        <f>Table1[[#This Row],[GT_count]]/Table1[[#This Row],[total count]]</f>
        <v>1.7825311942959001E-3</v>
      </c>
      <c r="AE2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3.6585365853658534E-2</v>
      </c>
      <c r="AF2" s="2">
        <f>Table1[[#This Row],['[Cells'] c/ml]]*Table1[[#This Row],[GT%]]</f>
        <v>377896.6131907308</v>
      </c>
      <c r="AG2" s="1">
        <v>9</v>
      </c>
      <c r="AH2" s="4">
        <f>Table1[[#This Row],[FE_count]]/Table1[[#This Row],[total count]]</f>
        <v>5.3475935828877002E-3</v>
      </c>
      <c r="AI2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0.10975609756097561</v>
      </c>
      <c r="AJ2" s="4">
        <f>Table1[[#This Row],[FE_count]]/(Table1[[#This Row],[Lympho_count]]+Table1[[#This Row],[FE_count]]+Table1[[#This Row],[CE_count]]+Table1[[#This Row],[Neutro_count]]+Table1[[#This Row],[Monocyte_count]]+Table1[[#This Row],[Basophil_count]])</f>
        <v>0.11392405063291139</v>
      </c>
      <c r="AK2" s="2">
        <f>Table1[[#This Row],['[Cells'] c/ml]]*Table1[[#This Row],[FE%]]</f>
        <v>1133689.8395721924</v>
      </c>
      <c r="AL2" s="1">
        <v>15</v>
      </c>
      <c r="AM2" s="4">
        <f>Table1[[#This Row],[CE_count]]/Table1[[#This Row],[total count]]</f>
        <v>8.9126559714795012E-3</v>
      </c>
      <c r="AN2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0.18292682926829268</v>
      </c>
      <c r="AO2" s="4">
        <f>Table1[[#This Row],[CE_count]]/(Table1[[#This Row],[Lympho_count]]+Table1[[#This Row],[FE_count]]+Table1[[#This Row],[CE_count]]+Table1[[#This Row],[Neutro_count]]+Table1[[#This Row],[Monocyte_count]]+Table1[[#This Row],[Basophil_count]])</f>
        <v>0.189873417721519</v>
      </c>
      <c r="AP2" s="2">
        <f>Table1[[#This Row],['[Cells'] c/ml]]*Table1[[#This Row],[CE%]]</f>
        <v>1889483.0659536542</v>
      </c>
      <c r="AQ2" s="1">
        <v>1</v>
      </c>
      <c r="AR2" s="4">
        <f>Table1[[#This Row],[Neutro_count]]/Table1[[#This Row],[total count]]</f>
        <v>5.941770647653001E-4</v>
      </c>
      <c r="AS2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1.2195121951219513E-2</v>
      </c>
      <c r="AT2" s="4">
        <f>Table1[[#This Row],[Neutro_count]]/(Table1[[#This Row],[Lympho_count]]+Table1[[#This Row],[FE_count]]+Table1[[#This Row],[CE_count]]+Table1[[#This Row],[Neutro_count]]+Table1[[#This Row],[Monocyte_count]]+Table1[[#This Row],[Basophil_count]])</f>
        <v>1.2658227848101266E-2</v>
      </c>
      <c r="AU2" s="2">
        <f>Table1[[#This Row],['[Cells'] c/ml]]*Table1[[#This Row],[Neutro%]]</f>
        <v>125965.53773024362</v>
      </c>
      <c r="AV2" s="5">
        <v>2</v>
      </c>
      <c r="AW2" s="4">
        <f>Table1[[#This Row],[Monocyte_count]]/Table1[[#This Row],[total count]]</f>
        <v>1.1883541295306002E-3</v>
      </c>
      <c r="AX2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2.4390243902439025E-2</v>
      </c>
      <c r="AY2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2.5316455696202531E-2</v>
      </c>
      <c r="AZ2" s="2">
        <f>Table1[[#This Row],['[Cells'] c/ml]]*Table1[[#This Row],[Monocyte%]]</f>
        <v>251931.07546048725</v>
      </c>
      <c r="BA2" s="1">
        <v>0</v>
      </c>
      <c r="BB2" s="4">
        <f>Table1[[#This Row],[Basophil_count]]/Table1[[#This Row],[total count]]</f>
        <v>0</v>
      </c>
      <c r="BC2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D2" s="4"/>
      <c r="BE2" s="2">
        <f>Table1[[#This Row],['[Cells'] c/ml]]*Table1[[#This Row],[Basophil%]]</f>
        <v>0</v>
      </c>
      <c r="BF2" s="1">
        <v>0</v>
      </c>
      <c r="BG2" s="4">
        <f>Table1[[#This Row],[immature_count]]/Table1[[#This Row],[total count]]</f>
        <v>0</v>
      </c>
      <c r="BH2" s="2">
        <f>Table1[[#This Row],['[Cells'] c/ml]]*Table1[[#This Row],[immature%]]</f>
        <v>0</v>
      </c>
      <c r="BI2" s="1">
        <v>0</v>
      </c>
      <c r="BJ2" s="4">
        <f>Table1[[#This Row],[mitosis_count]]/Table1[[#This Row],[total count]]</f>
        <v>0</v>
      </c>
      <c r="BK2" s="2">
        <f>Table1[[#This Row],['[Cells'] c/ml]]*Table1[[#This Row],[mitosis%]]</f>
        <v>0</v>
      </c>
      <c r="BL2" s="1">
        <v>0</v>
      </c>
      <c r="BM2" s="4">
        <f>Table1[[#This Row],[Abnormal_count]]/Table1[[#This Row],[total count]]</f>
        <v>0</v>
      </c>
      <c r="BN2" s="2">
        <f>Table1[[#This Row],['[Cells'] c/ml]]*Table1[[#This Row],[abnormal%]]</f>
        <v>0</v>
      </c>
    </row>
    <row r="3" spans="1:66" x14ac:dyDescent="0.25">
      <c r="A3" s="1" t="s">
        <v>8</v>
      </c>
      <c r="B3" s="1" t="s">
        <v>13</v>
      </c>
      <c r="C3" s="1" t="s">
        <v>10</v>
      </c>
      <c r="D3" s="1" t="s">
        <v>11</v>
      </c>
      <c r="E3" s="1">
        <v>4</v>
      </c>
      <c r="F3" s="3" t="s">
        <v>12</v>
      </c>
      <c r="G3" s="1">
        <v>1</v>
      </c>
      <c r="H3" s="2">
        <v>457000000</v>
      </c>
      <c r="I3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2156</v>
      </c>
      <c r="J3" s="1">
        <v>2029</v>
      </c>
      <c r="K3" s="4">
        <f t="shared" si="0"/>
        <v>0.94153132250580052</v>
      </c>
      <c r="L3" s="2">
        <f>Table1[[#This Row],['[Cells'] c/ml]]*Table1[[#This Row],[Rbc%]]</f>
        <v>430279814.38515085</v>
      </c>
      <c r="M3" s="4">
        <f>SUM(Table1[[#This Row],[Lymoph%]],Table1[[#This Row],[FE%]],Table1[[#This Row],[GT%]],Table1[[#This Row],[CE%]],Table1[[#This Row],[Neutro%]],Table1[[#This Row],[Basophil%]])</f>
        <v>3.7569573283858987E-2</v>
      </c>
      <c r="N3" s="7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28.036585365853657</v>
      </c>
      <c r="O3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20.04054054054054</v>
      </c>
      <c r="P3" s="2">
        <f>Table1[[#This Row],['[Cells'] c/ml]]*Table1[[#This Row],[granulocyte%]]</f>
        <v>17169294.990723558</v>
      </c>
      <c r="Q3" s="4">
        <f>SUM(Table1[[#This Row],[Lymoph%]],Table1[[#This Row],[GT%]],Table1[[#This Row],[FE%]],Table1[[#This Row],[CE%]],Table1[[#This Row],[Neutro%]],Table1[[#This Row],[Basophil%]],Table1[[#This Row],[Monocyte%]])</f>
        <v>3.8033395176252309E-2</v>
      </c>
      <c r="R3" s="2">
        <f>Table1[[#This Row],['[Cells'] c/ml]]*Table1[[#This Row],[wbc%]]</f>
        <v>17381261.595547304</v>
      </c>
      <c r="S3" s="7">
        <f>Table1[[#This Row],['[wbc']]]/Table1[[#This Row],['[Granulocyte']]]</f>
        <v>1.0123456790123455</v>
      </c>
      <c r="T3" s="7">
        <f>Table1[[#This Row],['[Rbc']]]/Table1[[#This Row],['[wbc']]]</f>
        <v>24.755384528323251</v>
      </c>
      <c r="U3" s="1">
        <v>50</v>
      </c>
      <c r="V3" s="4">
        <f>Table1[[#This Row],[Lympho_count]]/Table1[[#This Row],[total count]]</f>
        <v>2.3191094619666047E-2</v>
      </c>
      <c r="W3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0.6097560975609756</v>
      </c>
      <c r="X3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0.67567567567567566</v>
      </c>
      <c r="Y3" s="2">
        <f>Table1[[#This Row],['[Cells'] c/ml]]*Table1[[#This Row],[Lymoph%]]</f>
        <v>10598330.241187382</v>
      </c>
      <c r="Z3" s="1">
        <v>45</v>
      </c>
      <c r="AA3" s="4">
        <f>Table1[[#This Row],[Thrombo_count]]/Table1[[#This Row],[total count]]</f>
        <v>2.0871985157699443E-2</v>
      </c>
      <c r="AB3" s="2">
        <f>Table1[[#This Row],['[Cells'] c/ml]]*Table1[[#This Row],[Thrombo%]]</f>
        <v>9538497.2170686461</v>
      </c>
      <c r="AC3" s="1">
        <v>8</v>
      </c>
      <c r="AD3" s="4">
        <f>Table1[[#This Row],[GT_count]]/Table1[[#This Row],[total count]]</f>
        <v>3.7105751391465678E-3</v>
      </c>
      <c r="AE3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9.7560975609756101E-2</v>
      </c>
      <c r="AF3" s="2">
        <f>Table1[[#This Row],['[Cells'] c/ml]]*Table1[[#This Row],[GT%]]</f>
        <v>1695732.8385899814</v>
      </c>
      <c r="AG3" s="1">
        <v>8</v>
      </c>
      <c r="AH3" s="4">
        <f>Table1[[#This Row],[FE_count]]/Table1[[#This Row],[total count]]</f>
        <v>3.7105751391465678E-3</v>
      </c>
      <c r="AI3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9.7560975609756101E-2</v>
      </c>
      <c r="AJ3" s="4">
        <f>Table1[[#This Row],[FE_count]]/(Table1[[#This Row],[Lympho_count]]+Table1[[#This Row],[FE_count]]+Table1[[#This Row],[CE_count]]+Table1[[#This Row],[Neutro_count]]+Table1[[#This Row],[Monocyte_count]]+Table1[[#This Row],[Basophil_count]])</f>
        <v>0.10810810810810811</v>
      </c>
      <c r="AK3" s="2">
        <f>Table1[[#This Row],['[Cells'] c/ml]]*Table1[[#This Row],[FE%]]</f>
        <v>1695732.8385899814</v>
      </c>
      <c r="AL3" s="1">
        <v>12</v>
      </c>
      <c r="AM3" s="4">
        <f>Table1[[#This Row],[CE_count]]/Table1[[#This Row],[total count]]</f>
        <v>5.5658627087198514E-3</v>
      </c>
      <c r="AN3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0.14634146341463414</v>
      </c>
      <c r="AO3" s="4">
        <f>Table1[[#This Row],[CE_count]]/(Table1[[#This Row],[Lympho_count]]+Table1[[#This Row],[FE_count]]+Table1[[#This Row],[CE_count]]+Table1[[#This Row],[Neutro_count]]+Table1[[#This Row],[Monocyte_count]]+Table1[[#This Row],[Basophil_count]])</f>
        <v>0.16216216216216217</v>
      </c>
      <c r="AP3" s="2">
        <f>Table1[[#This Row],['[Cells'] c/ml]]*Table1[[#This Row],[CE%]]</f>
        <v>2543599.2578849723</v>
      </c>
      <c r="AQ3" s="1">
        <v>3</v>
      </c>
      <c r="AR3" s="4">
        <f>Table1[[#This Row],[Neutro_count]]/Table1[[#This Row],[total count]]</f>
        <v>1.3914656771799629E-3</v>
      </c>
      <c r="AS3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3.6585365853658534E-2</v>
      </c>
      <c r="AT3" s="4">
        <f>Table1[[#This Row],[Neutro_count]]/(Table1[[#This Row],[Lympho_count]]+Table1[[#This Row],[FE_count]]+Table1[[#This Row],[CE_count]]+Table1[[#This Row],[Neutro_count]]+Table1[[#This Row],[Monocyte_count]]+Table1[[#This Row],[Basophil_count]])</f>
        <v>4.0540540540540543E-2</v>
      </c>
      <c r="AU3" s="2">
        <f>Table1[[#This Row],['[Cells'] c/ml]]*Table1[[#This Row],[Neutro%]]</f>
        <v>635899.81447124307</v>
      </c>
      <c r="AV3" s="5">
        <v>1</v>
      </c>
      <c r="AW3" s="4">
        <f>Table1[[#This Row],[Monocyte_count]]/Table1[[#This Row],[total count]]</f>
        <v>4.6382189239332097E-4</v>
      </c>
      <c r="AX3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1.2195121951219513E-2</v>
      </c>
      <c r="AY3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1.3513513513513514E-2</v>
      </c>
      <c r="AZ3" s="2">
        <f>Table1[[#This Row],['[Cells'] c/ml]]*Table1[[#This Row],[Monocyte%]]</f>
        <v>211966.60482374768</v>
      </c>
      <c r="BA3" s="1">
        <v>0</v>
      </c>
      <c r="BB3" s="4">
        <f>Table1[[#This Row],[Basophil_count]]/Table1[[#This Row],[total count]]</f>
        <v>0</v>
      </c>
      <c r="BC3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D3" s="4"/>
      <c r="BE3" s="2">
        <f>Table1[[#This Row],['[Cells'] c/ml]]*Table1[[#This Row],[Basophil%]]</f>
        <v>0</v>
      </c>
      <c r="BF3" s="1">
        <v>0</v>
      </c>
      <c r="BG3" s="4">
        <f>Table1[[#This Row],[immature_count]]/Table1[[#This Row],[total count]]</f>
        <v>0</v>
      </c>
      <c r="BH3" s="2">
        <f>Table1[[#This Row],['[Cells'] c/ml]]*Table1[[#This Row],[immature%]]</f>
        <v>0</v>
      </c>
      <c r="BI3" s="1">
        <v>0</v>
      </c>
      <c r="BJ3" s="4">
        <f>Table1[[#This Row],[mitosis_count]]/Table1[[#This Row],[total count]]</f>
        <v>0</v>
      </c>
      <c r="BK3" s="2">
        <f>Table1[[#This Row],['[Cells'] c/ml]]*Table1[[#This Row],[mitosis%]]</f>
        <v>0</v>
      </c>
      <c r="BL3" s="1">
        <v>0</v>
      </c>
      <c r="BM3" s="4">
        <f>Table1[[#This Row],[Abnormal_count]]/Table1[[#This Row],[total count]]</f>
        <v>0</v>
      </c>
      <c r="BN3" s="2">
        <f>Table1[[#This Row],['[Cells'] c/ml]]*Table1[[#This Row],[abnormal%]]</f>
        <v>0</v>
      </c>
    </row>
    <row r="4" spans="1:66" x14ac:dyDescent="0.25">
      <c r="A4" s="1" t="s">
        <v>8</v>
      </c>
      <c r="B4" s="1" t="s">
        <v>14</v>
      </c>
      <c r="C4" s="1" t="s">
        <v>15</v>
      </c>
      <c r="D4" s="1" t="s">
        <v>11</v>
      </c>
      <c r="E4" s="1">
        <v>4</v>
      </c>
      <c r="F4" s="1" t="s">
        <v>16</v>
      </c>
      <c r="G4" s="1" t="s">
        <v>16</v>
      </c>
      <c r="H4" s="2">
        <v>547000000</v>
      </c>
      <c r="I4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2304</v>
      </c>
      <c r="J4" s="1">
        <v>2140</v>
      </c>
      <c r="K4" s="4">
        <f t="shared" si="0"/>
        <v>0.93003042155584525</v>
      </c>
      <c r="L4" s="2">
        <f>Table1[[#This Row],['[Cells'] c/ml]]*Table1[[#This Row],[Rbc%]]</f>
        <v>508726640.59104735</v>
      </c>
      <c r="M4" s="4">
        <f>SUM(Table1[[#This Row],[Lymoph%]],Table1[[#This Row],[FE%]],Table1[[#This Row],[GT%]],Table1[[#This Row],[CE%]],Table1[[#This Row],[Neutro%]],Table1[[#This Row],[Basophil%]])</f>
        <v>3.9930555555555546E-2</v>
      </c>
      <c r="N4" s="7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37.021052631578947</v>
      </c>
      <c r="O4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17.026666666666667</v>
      </c>
      <c r="P4" s="2">
        <f>Table1[[#This Row],['[Cells'] c/ml]]*Table1[[#This Row],[granulocyte%]]</f>
        <v>21842013.888888884</v>
      </c>
      <c r="Q4" s="4">
        <f>SUM(Table1[[#This Row],[Lymoph%]],Table1[[#This Row],[GT%]],Table1[[#This Row],[FE%]],Table1[[#This Row],[CE%]],Table1[[#This Row],[Neutro%]],Table1[[#This Row],[Basophil%]],Table1[[#This Row],[Monocyte%]])</f>
        <v>4.1232638888888888E-2</v>
      </c>
      <c r="R4" s="2">
        <f>Table1[[#This Row],['[Cells'] c/ml]]*Table1[[#This Row],[wbc%]]</f>
        <v>22554253.47222222</v>
      </c>
      <c r="S4" s="7">
        <f>Table1[[#This Row],['[wbc']]]/Table1[[#This Row],['[Granulocyte']]]</f>
        <v>1.0326086956521741</v>
      </c>
      <c r="T4" s="7">
        <f>Table1[[#This Row],['[Rbc']]]/Table1[[#This Row],['[wbc']]]</f>
        <v>22.555685171207028</v>
      </c>
      <c r="U4" s="1">
        <v>52</v>
      </c>
      <c r="V4" s="4">
        <f>Table1[[#This Row],[Lympho_count]]/Table1[[#This Row],[total count]]</f>
        <v>2.2569444444444444E-2</v>
      </c>
      <c r="W4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0.54736842105263162</v>
      </c>
      <c r="X4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0.69333333333333336</v>
      </c>
      <c r="Y4" s="2">
        <f>Table1[[#This Row],['[Cells'] c/ml]]*Table1[[#This Row],[Lymoph%]]</f>
        <v>12345486.11111111</v>
      </c>
      <c r="Z4" s="1">
        <v>69</v>
      </c>
      <c r="AA4" s="4">
        <f>Table1[[#This Row],[Thrombo_count]]/Table1[[#This Row],[total count]]</f>
        <v>2.9947916666666668E-2</v>
      </c>
      <c r="AB4" s="2">
        <f>Table1[[#This Row],['[Cells'] c/ml]]*Table1[[#This Row],[Thrombo%]]</f>
        <v>16381510.416666668</v>
      </c>
      <c r="AC4" s="1">
        <v>20</v>
      </c>
      <c r="AD4" s="4">
        <f>Table1[[#This Row],[GT_count]]/Table1[[#This Row],[total count]]</f>
        <v>8.6805555555555559E-3</v>
      </c>
      <c r="AE4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0.21052631578947367</v>
      </c>
      <c r="AF4" s="2">
        <f>Table1[[#This Row],['[Cells'] c/ml]]*Table1[[#This Row],[GT%]]</f>
        <v>4748263.888888889</v>
      </c>
      <c r="AG4" s="1">
        <v>12</v>
      </c>
      <c r="AH4" s="4">
        <f>Table1[[#This Row],[FE_count]]/Table1[[#This Row],[total count]]</f>
        <v>5.208333333333333E-3</v>
      </c>
      <c r="AI4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0.12631578947368421</v>
      </c>
      <c r="AJ4" s="4">
        <f>Table1[[#This Row],[FE_count]]/(Table1[[#This Row],[Lympho_count]]+Table1[[#This Row],[FE_count]]+Table1[[#This Row],[CE_count]]+Table1[[#This Row],[Neutro_count]]+Table1[[#This Row],[Monocyte_count]]+Table1[[#This Row],[Basophil_count]])</f>
        <v>0.16</v>
      </c>
      <c r="AK4" s="2">
        <f>Table1[[#This Row],['[Cells'] c/ml]]*Table1[[#This Row],[FE%]]</f>
        <v>2848958.333333333</v>
      </c>
      <c r="AL4" s="1">
        <v>5</v>
      </c>
      <c r="AM4" s="4">
        <f>Table1[[#This Row],[CE_count]]/Table1[[#This Row],[total count]]</f>
        <v>2.170138888888889E-3</v>
      </c>
      <c r="AN4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5.2631578947368418E-2</v>
      </c>
      <c r="AO4" s="4">
        <f>Table1[[#This Row],[CE_count]]/(Table1[[#This Row],[Lympho_count]]+Table1[[#This Row],[FE_count]]+Table1[[#This Row],[CE_count]]+Table1[[#This Row],[Neutro_count]]+Table1[[#This Row],[Monocyte_count]]+Table1[[#This Row],[Basophil_count]])</f>
        <v>6.6666666666666666E-2</v>
      </c>
      <c r="AP4" s="2">
        <f>Table1[[#This Row],['[Cells'] c/ml]]*Table1[[#This Row],[CE%]]</f>
        <v>1187065.9722222222</v>
      </c>
      <c r="AQ4" s="1">
        <v>2</v>
      </c>
      <c r="AR4" s="4">
        <f>Table1[[#This Row],[Neutro_count]]/Table1[[#This Row],[total count]]</f>
        <v>8.6805555555555551E-4</v>
      </c>
      <c r="AS4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2.1052631578947368E-2</v>
      </c>
      <c r="AT4" s="4">
        <f>Table1[[#This Row],[Neutro_count]]/(Table1[[#This Row],[Lympho_count]]+Table1[[#This Row],[FE_count]]+Table1[[#This Row],[CE_count]]+Table1[[#This Row],[Neutro_count]]+Table1[[#This Row],[Monocyte_count]]+Table1[[#This Row],[Basophil_count]])</f>
        <v>2.6666666666666668E-2</v>
      </c>
      <c r="AU4" s="2">
        <f>Table1[[#This Row],['[Cells'] c/ml]]*Table1[[#This Row],[Neutro%]]</f>
        <v>474826.38888888888</v>
      </c>
      <c r="AV4" s="5">
        <v>3</v>
      </c>
      <c r="AW4" s="4">
        <f>Table1[[#This Row],[Monocyte_count]]/Table1[[#This Row],[total count]]</f>
        <v>1.3020833333333333E-3</v>
      </c>
      <c r="AX4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3.1578947368421054E-2</v>
      </c>
      <c r="AY4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0.04</v>
      </c>
      <c r="AZ4" s="2">
        <f>Table1[[#This Row],['[Cells'] c/ml]]*Table1[[#This Row],[Monocyte%]]</f>
        <v>712239.58333333326</v>
      </c>
      <c r="BA4" s="1">
        <v>1</v>
      </c>
      <c r="BB4" s="4">
        <f>Table1[[#This Row],[Basophil_count]]/Table1[[#This Row],[total count]]</f>
        <v>4.3402777777777775E-4</v>
      </c>
      <c r="BC4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1.3333333333333334E-2</v>
      </c>
      <c r="BD4" s="4"/>
      <c r="BE4" s="2">
        <f>Table1[[#This Row],['[Cells'] c/ml]]*Table1[[#This Row],[Basophil%]]</f>
        <v>237413.19444444444</v>
      </c>
      <c r="BF4" s="1">
        <v>0</v>
      </c>
      <c r="BG4" s="4">
        <f>Table1[[#This Row],[immature_count]]/Table1[[#This Row],[total count]]</f>
        <v>0</v>
      </c>
      <c r="BH4" s="2">
        <f>Table1[[#This Row],['[Cells'] c/ml]]*Table1[[#This Row],[immature%]]</f>
        <v>0</v>
      </c>
      <c r="BI4" s="1">
        <v>0</v>
      </c>
      <c r="BJ4" s="4">
        <f>Table1[[#This Row],[mitosis_count]]/Table1[[#This Row],[total count]]</f>
        <v>0</v>
      </c>
      <c r="BK4" s="2">
        <f>Table1[[#This Row],['[Cells'] c/ml]]*Table1[[#This Row],[mitosis%]]</f>
        <v>0</v>
      </c>
      <c r="BL4" s="1">
        <v>0</v>
      </c>
      <c r="BM4" s="4">
        <f>Table1[[#This Row],[Abnormal_count]]/Table1[[#This Row],[total count]]</f>
        <v>0</v>
      </c>
      <c r="BN4" s="2">
        <f>Table1[[#This Row],['[Cells'] c/ml]]*Table1[[#This Row],[abnormal%]]</f>
        <v>0</v>
      </c>
    </row>
    <row r="5" spans="1:66" x14ac:dyDescent="0.25">
      <c r="A5" s="1" t="s">
        <v>8</v>
      </c>
      <c r="B5" s="1" t="s">
        <v>17</v>
      </c>
      <c r="C5" s="1" t="s">
        <v>15</v>
      </c>
      <c r="D5" s="1" t="s">
        <v>11</v>
      </c>
      <c r="E5" s="1">
        <v>4</v>
      </c>
      <c r="F5" s="1" t="s">
        <v>16</v>
      </c>
      <c r="G5" s="1" t="s">
        <v>16</v>
      </c>
      <c r="H5" s="2">
        <v>192000000</v>
      </c>
      <c r="I5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2196</v>
      </c>
      <c r="J5" s="1">
        <v>2045</v>
      </c>
      <c r="K5" s="4">
        <f t="shared" si="0"/>
        <v>0.93208751139471291</v>
      </c>
      <c r="L5" s="2">
        <f>Table1[[#This Row],['[Cells'] c/ml]]*Table1[[#This Row],[Rbc%]]</f>
        <v>178960802.18778488</v>
      </c>
      <c r="M5" s="4">
        <f>SUM(Table1[[#This Row],[Lymoph%]],Table1[[#This Row],[FE%]],Table1[[#This Row],[GT%]],Table1[[#This Row],[CE%]],Table1[[#This Row],[Neutro%]],Table1[[#This Row],[Basophil%]])</f>
        <v>4.6448087431693992E-2</v>
      </c>
      <c r="N5" s="7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39.04807692307692</v>
      </c>
      <c r="O5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32.051546391752581</v>
      </c>
      <c r="P5" s="2">
        <f>Table1[[#This Row],['[Cells'] c/ml]]*Table1[[#This Row],[granulocyte%]]</f>
        <v>8918032.7868852466</v>
      </c>
      <c r="Q5" s="4">
        <f>SUM(Table1[[#This Row],[Lymoph%]],Table1[[#This Row],[GT%]],Table1[[#This Row],[FE%]],Table1[[#This Row],[CE%]],Table1[[#This Row],[Neutro%]],Table1[[#This Row],[Basophil%]],Table1[[#This Row],[Monocyte%]])</f>
        <v>4.7358834244080147E-2</v>
      </c>
      <c r="R5" s="2">
        <f>Table1[[#This Row],['[Cells'] c/ml]]*Table1[[#This Row],[wbc%]]</f>
        <v>9092896.1748633888</v>
      </c>
      <c r="S5" s="7">
        <f>Table1[[#This Row],['[wbc']]]/Table1[[#This Row],['[Granulocyte']]]</f>
        <v>1.0196078431372548</v>
      </c>
      <c r="T5" s="7">
        <f>Table1[[#This Row],['[Rbc']]]/Table1[[#This Row],['[wbc']]]</f>
        <v>19.681386298296051</v>
      </c>
      <c r="U5" s="1">
        <v>58</v>
      </c>
      <c r="V5" s="4">
        <f>Table1[[#This Row],[Lympho_count]]/Table1[[#This Row],[total count]]</f>
        <v>2.6411657559198543E-2</v>
      </c>
      <c r="W5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0.55769230769230771</v>
      </c>
      <c r="X5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0.59793814432989689</v>
      </c>
      <c r="Y5" s="2">
        <f>Table1[[#This Row],['[Cells'] c/ml]]*Table1[[#This Row],[Lymoph%]]</f>
        <v>5071038.2513661198</v>
      </c>
      <c r="Z5" s="1">
        <v>47</v>
      </c>
      <c r="AA5" s="4">
        <f>Table1[[#This Row],[Thrombo_count]]/Table1[[#This Row],[total count]]</f>
        <v>2.1402550091074682E-2</v>
      </c>
      <c r="AB5" s="2">
        <f>Table1[[#This Row],['[Cells'] c/ml]]*Table1[[#This Row],[Thrombo%]]</f>
        <v>4109289.6174863391</v>
      </c>
      <c r="AC5" s="1">
        <v>7</v>
      </c>
      <c r="AD5" s="4">
        <f>Table1[[#This Row],[GT_count]]/Table1[[#This Row],[total count]]</f>
        <v>3.1876138433515485E-3</v>
      </c>
      <c r="AE5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6.7307692307692304E-2</v>
      </c>
      <c r="AF5" s="2">
        <f>Table1[[#This Row],['[Cells'] c/ml]]*Table1[[#This Row],[GT%]]</f>
        <v>612021.85792349733</v>
      </c>
      <c r="AG5" s="1">
        <v>14</v>
      </c>
      <c r="AH5" s="4">
        <f>Table1[[#This Row],[FE_count]]/Table1[[#This Row],[total count]]</f>
        <v>6.375227686703097E-3</v>
      </c>
      <c r="AI5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0.13461538461538461</v>
      </c>
      <c r="AJ5" s="4">
        <f>Table1[[#This Row],[FE_count]]/(Table1[[#This Row],[Lympho_count]]+Table1[[#This Row],[FE_count]]+Table1[[#This Row],[CE_count]]+Table1[[#This Row],[Neutro_count]]+Table1[[#This Row],[Monocyte_count]]+Table1[[#This Row],[Basophil_count]])</f>
        <v>0.14432989690721648</v>
      </c>
      <c r="AK5" s="2">
        <f>Table1[[#This Row],['[Cells'] c/ml]]*Table1[[#This Row],[FE%]]</f>
        <v>1224043.7158469947</v>
      </c>
      <c r="AL5" s="1">
        <v>18</v>
      </c>
      <c r="AM5" s="4">
        <f>Table1[[#This Row],[CE_count]]/Table1[[#This Row],[total count]]</f>
        <v>8.1967213114754103E-3</v>
      </c>
      <c r="AN5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0.17307692307692307</v>
      </c>
      <c r="AO5" s="4">
        <f>Table1[[#This Row],[CE_count]]/(Table1[[#This Row],[Lympho_count]]+Table1[[#This Row],[FE_count]]+Table1[[#This Row],[CE_count]]+Table1[[#This Row],[Neutro_count]]+Table1[[#This Row],[Monocyte_count]]+Table1[[#This Row],[Basophil_count]])</f>
        <v>0.18556701030927836</v>
      </c>
      <c r="AP5" s="2">
        <f>Table1[[#This Row],['[Cells'] c/ml]]*Table1[[#This Row],[CE%]]</f>
        <v>1573770.4918032787</v>
      </c>
      <c r="AQ5" s="1">
        <v>5</v>
      </c>
      <c r="AR5" s="4">
        <f>Table1[[#This Row],[Neutro_count]]/Table1[[#This Row],[total count]]</f>
        <v>2.2768670309653918E-3</v>
      </c>
      <c r="AS5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4.807692307692308E-2</v>
      </c>
      <c r="AT5" s="4">
        <f>Table1[[#This Row],[Neutro_count]]/(Table1[[#This Row],[Lympho_count]]+Table1[[#This Row],[FE_count]]+Table1[[#This Row],[CE_count]]+Table1[[#This Row],[Neutro_count]]+Table1[[#This Row],[Monocyte_count]]+Table1[[#This Row],[Basophil_count]])</f>
        <v>5.1546391752577317E-2</v>
      </c>
      <c r="AU5" s="2">
        <f>Table1[[#This Row],['[Cells'] c/ml]]*Table1[[#This Row],[Neutro%]]</f>
        <v>437158.46994535526</v>
      </c>
      <c r="AV5" s="5">
        <v>2</v>
      </c>
      <c r="AW5" s="4">
        <f>Table1[[#This Row],[Monocyte_count]]/Table1[[#This Row],[total count]]</f>
        <v>9.1074681238615665E-4</v>
      </c>
      <c r="AX5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1.9230769230769232E-2</v>
      </c>
      <c r="AY5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2.0618556701030927E-2</v>
      </c>
      <c r="AZ5" s="2">
        <f>Table1[[#This Row],['[Cells'] c/ml]]*Table1[[#This Row],[Monocyte%]]</f>
        <v>174863.38797814207</v>
      </c>
      <c r="BA5" s="1">
        <v>0</v>
      </c>
      <c r="BB5" s="4">
        <f>Table1[[#This Row],[Basophil_count]]/Table1[[#This Row],[total count]]</f>
        <v>0</v>
      </c>
      <c r="BC5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D5" s="4"/>
      <c r="BE5" s="2">
        <f>Table1[[#This Row],['[Cells'] c/ml]]*Table1[[#This Row],[Basophil%]]</f>
        <v>0</v>
      </c>
      <c r="BF5" s="1">
        <v>0</v>
      </c>
      <c r="BG5" s="4">
        <f>Table1[[#This Row],[immature_count]]/Table1[[#This Row],[total count]]</f>
        <v>0</v>
      </c>
      <c r="BH5" s="2">
        <f>Table1[[#This Row],['[Cells'] c/ml]]*Table1[[#This Row],[immature%]]</f>
        <v>0</v>
      </c>
      <c r="BI5" s="1">
        <v>0</v>
      </c>
      <c r="BJ5" s="4">
        <f>Table1[[#This Row],[mitosis_count]]/Table1[[#This Row],[total count]]</f>
        <v>0</v>
      </c>
      <c r="BK5" s="2">
        <f>Table1[[#This Row],['[Cells'] c/ml]]*Table1[[#This Row],[mitosis%]]</f>
        <v>0</v>
      </c>
      <c r="BL5" s="1">
        <v>0</v>
      </c>
      <c r="BM5" s="4">
        <f>Table1[[#This Row],[Abnormal_count]]/Table1[[#This Row],[total count]]</f>
        <v>0</v>
      </c>
      <c r="BN5" s="2">
        <f>Table1[[#This Row],['[Cells'] c/ml]]*Table1[[#This Row],[abnormal%]]</f>
        <v>0</v>
      </c>
    </row>
    <row r="6" spans="1:66" x14ac:dyDescent="0.25">
      <c r="A6" s="1" t="s">
        <v>8</v>
      </c>
      <c r="B6" s="1" t="s">
        <v>18</v>
      </c>
      <c r="C6" s="1" t="s">
        <v>10</v>
      </c>
      <c r="D6" s="1" t="s">
        <v>19</v>
      </c>
      <c r="E6" s="1">
        <v>4</v>
      </c>
      <c r="F6" s="3" t="s">
        <v>20</v>
      </c>
      <c r="G6" s="1">
        <v>0</v>
      </c>
      <c r="H6" s="2">
        <v>468000000</v>
      </c>
      <c r="I6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2181</v>
      </c>
      <c r="J6" s="1">
        <v>2011</v>
      </c>
      <c r="K6" s="4">
        <f t="shared" si="0"/>
        <v>0.92374827744602661</v>
      </c>
      <c r="L6" s="2">
        <f>Table1[[#This Row],['[Cells'] c/ml]]*Table1[[#This Row],[Rbc%]]</f>
        <v>432314193.84474045</v>
      </c>
      <c r="M6" s="4">
        <f>SUM(Table1[[#This Row],[Lymoph%]],Table1[[#This Row],[FE%]],Table1[[#This Row],[GT%]],Table1[[#This Row],[CE%]],Table1[[#This Row],[Neutro%]],Table1[[#This Row],[Basophil%]])</f>
        <v>4.9518569463548823E-2</v>
      </c>
      <c r="N6" s="7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24.035714285714285</v>
      </c>
      <c r="O6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20.037037037037038</v>
      </c>
      <c r="P6" s="2">
        <f>Table1[[#This Row],['[Cells'] c/ml]]*Table1[[#This Row],[granulocyte%]]</f>
        <v>23174690.508940849</v>
      </c>
      <c r="Q6" s="4">
        <f>SUM(Table1[[#This Row],[Lymoph%]],Table1[[#This Row],[GT%]],Table1[[#This Row],[FE%]],Table1[[#This Row],[CE%]],Table1[[#This Row],[Neutro%]],Table1[[#This Row],[Basophil%]],Table1[[#This Row],[Monocyte%]])</f>
        <v>5.1352590554791369E-2</v>
      </c>
      <c r="R6" s="2">
        <f>Table1[[#This Row],['[Cells'] c/ml]]*Table1[[#This Row],[wbc%]]</f>
        <v>24033012.37964236</v>
      </c>
      <c r="S6" s="7">
        <f>Table1[[#This Row],['[wbc']]]/Table1[[#This Row],['[Granulocyte']]]</f>
        <v>1.037037037037037</v>
      </c>
      <c r="T6" s="7">
        <f>Table1[[#This Row],['[Rbc']]]/Table1[[#This Row],['[wbc']]]</f>
        <v>17.988348152765933</v>
      </c>
      <c r="U6" s="1">
        <v>80</v>
      </c>
      <c r="V6" s="4">
        <f>Table1[[#This Row],[Lympho_count]]/Table1[[#This Row],[total count]]</f>
        <v>3.6680421824850984E-2</v>
      </c>
      <c r="W6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0.7142857142857143</v>
      </c>
      <c r="X6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0.7407407407407407</v>
      </c>
      <c r="Y6" s="2">
        <f>Table1[[#This Row],['[Cells'] c/ml]]*Table1[[#This Row],[Lymoph%]]</f>
        <v>17166437.414030261</v>
      </c>
      <c r="Z6" s="1">
        <v>58</v>
      </c>
      <c r="AA6" s="4">
        <f>Table1[[#This Row],[Thrombo_count]]/Table1[[#This Row],[total count]]</f>
        <v>2.6593305823016965E-2</v>
      </c>
      <c r="AB6" s="2">
        <f>Table1[[#This Row],['[Cells'] c/ml]]*Table1[[#This Row],[Thrombo%]]</f>
        <v>12445667.125171939</v>
      </c>
      <c r="AC6" s="1">
        <v>4</v>
      </c>
      <c r="AD6" s="4">
        <f>Table1[[#This Row],[GT_count]]/Table1[[#This Row],[total count]]</f>
        <v>1.8340210912425492E-3</v>
      </c>
      <c r="AE6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3.5714285714285712E-2</v>
      </c>
      <c r="AF6" s="2">
        <f>Table1[[#This Row],['[Cells'] c/ml]]*Table1[[#This Row],[GT%]]</f>
        <v>858321.87070151302</v>
      </c>
      <c r="AG6" s="1">
        <v>8</v>
      </c>
      <c r="AH6" s="4">
        <f>Table1[[#This Row],[FE_count]]/Table1[[#This Row],[total count]]</f>
        <v>3.6680421824850985E-3</v>
      </c>
      <c r="AI6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7.1428571428571425E-2</v>
      </c>
      <c r="AJ6" s="4">
        <f>Table1[[#This Row],[FE_count]]/(Table1[[#This Row],[Lympho_count]]+Table1[[#This Row],[FE_count]]+Table1[[#This Row],[CE_count]]+Table1[[#This Row],[Neutro_count]]+Table1[[#This Row],[Monocyte_count]]+Table1[[#This Row],[Basophil_count]])</f>
        <v>7.407407407407407E-2</v>
      </c>
      <c r="AK6" s="2">
        <f>Table1[[#This Row],['[Cells'] c/ml]]*Table1[[#This Row],[FE%]]</f>
        <v>1716643.741403026</v>
      </c>
      <c r="AL6" s="1">
        <v>12</v>
      </c>
      <c r="AM6" s="4">
        <f>Table1[[#This Row],[CE_count]]/Table1[[#This Row],[total count]]</f>
        <v>5.5020632737276479E-3</v>
      </c>
      <c r="AN6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0.10714285714285714</v>
      </c>
      <c r="AO6" s="4">
        <f>Table1[[#This Row],[CE_count]]/(Table1[[#This Row],[Lympho_count]]+Table1[[#This Row],[FE_count]]+Table1[[#This Row],[CE_count]]+Table1[[#This Row],[Neutro_count]]+Table1[[#This Row],[Monocyte_count]]+Table1[[#This Row],[Basophil_count]])</f>
        <v>0.1111111111111111</v>
      </c>
      <c r="AP6" s="2">
        <f>Table1[[#This Row],['[Cells'] c/ml]]*Table1[[#This Row],[CE%]]</f>
        <v>2574965.6121045393</v>
      </c>
      <c r="AQ6" s="1">
        <v>4</v>
      </c>
      <c r="AR6" s="4">
        <f>Table1[[#This Row],[Neutro_count]]/Table1[[#This Row],[total count]]</f>
        <v>1.8340210912425492E-3</v>
      </c>
      <c r="AS6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3.5714285714285712E-2</v>
      </c>
      <c r="AT6" s="4">
        <f>Table1[[#This Row],[Neutro_count]]/(Table1[[#This Row],[Lympho_count]]+Table1[[#This Row],[FE_count]]+Table1[[#This Row],[CE_count]]+Table1[[#This Row],[Neutro_count]]+Table1[[#This Row],[Monocyte_count]]+Table1[[#This Row],[Basophil_count]])</f>
        <v>3.7037037037037035E-2</v>
      </c>
      <c r="AU6" s="2">
        <f>Table1[[#This Row],['[Cells'] c/ml]]*Table1[[#This Row],[Neutro%]]</f>
        <v>858321.87070151302</v>
      </c>
      <c r="AV6" s="5">
        <v>4</v>
      </c>
      <c r="AW6" s="4">
        <f>Table1[[#This Row],[Monocyte_count]]/Table1[[#This Row],[total count]]</f>
        <v>1.8340210912425492E-3</v>
      </c>
      <c r="AX6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3.5714285714285712E-2</v>
      </c>
      <c r="AY6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3.7037037037037035E-2</v>
      </c>
      <c r="AZ6" s="2">
        <f>Table1[[#This Row],['[Cells'] c/ml]]*Table1[[#This Row],[Monocyte%]]</f>
        <v>858321.87070151302</v>
      </c>
      <c r="BA6" s="1">
        <v>0</v>
      </c>
      <c r="BB6" s="4">
        <f>Table1[[#This Row],[Basophil_count]]/Table1[[#This Row],[total count]]</f>
        <v>0</v>
      </c>
      <c r="BC6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D6" s="4"/>
      <c r="BE6" s="2">
        <f>Table1[[#This Row],['[Cells'] c/ml]]*Table1[[#This Row],[Basophil%]]</f>
        <v>0</v>
      </c>
      <c r="BF6" s="1">
        <v>0</v>
      </c>
      <c r="BG6" s="4">
        <f>Table1[[#This Row],[immature_count]]/Table1[[#This Row],[total count]]</f>
        <v>0</v>
      </c>
      <c r="BH6" s="2">
        <f>Table1[[#This Row],['[Cells'] c/ml]]*Table1[[#This Row],[immature%]]</f>
        <v>0</v>
      </c>
      <c r="BI6" s="1">
        <v>0</v>
      </c>
      <c r="BJ6" s="4">
        <f>Table1[[#This Row],[mitosis_count]]/Table1[[#This Row],[total count]]</f>
        <v>0</v>
      </c>
      <c r="BK6" s="2">
        <f>Table1[[#This Row],['[Cells'] c/ml]]*Table1[[#This Row],[mitosis%]]</f>
        <v>0</v>
      </c>
      <c r="BL6" s="1">
        <v>0</v>
      </c>
      <c r="BM6" s="4">
        <f>Table1[[#This Row],[Abnormal_count]]/Table1[[#This Row],[total count]]</f>
        <v>0</v>
      </c>
      <c r="BN6" s="2">
        <f>Table1[[#This Row],['[Cells'] c/ml]]*Table1[[#This Row],[abnormal%]]</f>
        <v>0</v>
      </c>
    </row>
    <row r="7" spans="1:66" x14ac:dyDescent="0.25">
      <c r="A7" s="1" t="s">
        <v>8</v>
      </c>
      <c r="B7" s="1" t="s">
        <v>21</v>
      </c>
      <c r="C7" s="1" t="s">
        <v>10</v>
      </c>
      <c r="D7" s="1" t="s">
        <v>19</v>
      </c>
      <c r="E7" s="1">
        <v>4</v>
      </c>
      <c r="F7" s="3" t="s">
        <v>12</v>
      </c>
      <c r="G7" s="1">
        <v>1</v>
      </c>
      <c r="H7" s="2">
        <v>253000000</v>
      </c>
      <c r="I7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2253</v>
      </c>
      <c r="J7" s="1">
        <v>2090</v>
      </c>
      <c r="K7" s="4">
        <f t="shared" si="0"/>
        <v>0.92847623278542868</v>
      </c>
      <c r="L7" s="2">
        <f>Table1[[#This Row],['[Cells'] c/ml]]*Table1[[#This Row],[Rbc%]]</f>
        <v>234904486.89471346</v>
      </c>
      <c r="M7" s="4">
        <f>SUM(Table1[[#This Row],[Lymoph%]],Table1[[#This Row],[FE%]],Table1[[#This Row],[GT%]],Table1[[#This Row],[CE%]],Table1[[#This Row],[Neutro%]],Table1[[#This Row],[Basophil%]])</f>
        <v>5.4150022192632041E-2</v>
      </c>
      <c r="N7" s="7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39.04032258064516</v>
      </c>
      <c r="O7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26.045045045045047</v>
      </c>
      <c r="P7" s="2">
        <f>Table1[[#This Row],['[Cells'] c/ml]]*Table1[[#This Row],[granulocyte%]]</f>
        <v>13699955.614735907</v>
      </c>
      <c r="Q7" s="4">
        <f>SUM(Table1[[#This Row],[Lymoph%]],Table1[[#This Row],[GT%]],Table1[[#This Row],[FE%]],Table1[[#This Row],[CE%]],Table1[[#This Row],[Neutro%]],Table1[[#This Row],[Basophil%]],Table1[[#This Row],[Monocyte%]])</f>
        <v>5.5037727474478465E-2</v>
      </c>
      <c r="R7" s="2">
        <f>Table1[[#This Row],['[Cells'] c/ml]]*Table1[[#This Row],[wbc%]]</f>
        <v>13924545.051043052</v>
      </c>
      <c r="S7" s="7">
        <f>Table1[[#This Row],['[wbc']]]/Table1[[#This Row],['[Granulocyte']]]</f>
        <v>1.0163934426229508</v>
      </c>
      <c r="T7" s="7">
        <f>Table1[[#This Row],['[Rbc']]]/Table1[[#This Row],['[wbc']]]</f>
        <v>16.869814132786864</v>
      </c>
      <c r="U7" s="1">
        <v>78</v>
      </c>
      <c r="V7" s="4">
        <f>Table1[[#This Row],[Lympho_count]]/Table1[[#This Row],[total count]]</f>
        <v>3.462050599201065E-2</v>
      </c>
      <c r="W7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0.62903225806451613</v>
      </c>
      <c r="X7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0.70270270270270274</v>
      </c>
      <c r="Y7" s="2">
        <f>Table1[[#This Row],['[Cells'] c/ml]]*Table1[[#This Row],[Lymoph%]]</f>
        <v>8758988.015978694</v>
      </c>
      <c r="Z7" s="1">
        <v>39</v>
      </c>
      <c r="AA7" s="4">
        <f>Table1[[#This Row],[Thrombo_count]]/Table1[[#This Row],[total count]]</f>
        <v>1.7310252996005325E-2</v>
      </c>
      <c r="AB7" s="2">
        <f>Table1[[#This Row],['[Cells'] c/ml]]*Table1[[#This Row],[Thrombo%]]</f>
        <v>4379494.007989347</v>
      </c>
      <c r="AC7" s="1">
        <v>13</v>
      </c>
      <c r="AD7" s="4">
        <f>Table1[[#This Row],[GT_count]]/Table1[[#This Row],[total count]]</f>
        <v>5.770084332001775E-3</v>
      </c>
      <c r="AE7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0.10483870967741936</v>
      </c>
      <c r="AF7" s="2">
        <f>Table1[[#This Row],['[Cells'] c/ml]]*Table1[[#This Row],[GT%]]</f>
        <v>1459831.335996449</v>
      </c>
      <c r="AG7" s="1">
        <v>17</v>
      </c>
      <c r="AH7" s="4">
        <f>Table1[[#This Row],[FE_count]]/Table1[[#This Row],[total count]]</f>
        <v>7.5454948956946294E-3</v>
      </c>
      <c r="AI7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0.13709677419354838</v>
      </c>
      <c r="AJ7" s="4">
        <f>Table1[[#This Row],[FE_count]]/(Table1[[#This Row],[Lympho_count]]+Table1[[#This Row],[FE_count]]+Table1[[#This Row],[CE_count]]+Table1[[#This Row],[Neutro_count]]+Table1[[#This Row],[Monocyte_count]]+Table1[[#This Row],[Basophil_count]])</f>
        <v>0.15315315315315314</v>
      </c>
      <c r="AK7" s="2">
        <f>Table1[[#This Row],['[Cells'] c/ml]]*Table1[[#This Row],[FE%]]</f>
        <v>1909010.2086107412</v>
      </c>
      <c r="AL7" s="1">
        <v>9</v>
      </c>
      <c r="AM7" s="4">
        <f>Table1[[#This Row],[CE_count]]/Table1[[#This Row],[total count]]</f>
        <v>3.9946737683089215E-3</v>
      </c>
      <c r="AN7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7.2580645161290328E-2</v>
      </c>
      <c r="AO7" s="4">
        <f>Table1[[#This Row],[CE_count]]/(Table1[[#This Row],[Lympho_count]]+Table1[[#This Row],[FE_count]]+Table1[[#This Row],[CE_count]]+Table1[[#This Row],[Neutro_count]]+Table1[[#This Row],[Monocyte_count]]+Table1[[#This Row],[Basophil_count]])</f>
        <v>8.1081081081081086E-2</v>
      </c>
      <c r="AP7" s="2">
        <f>Table1[[#This Row],['[Cells'] c/ml]]*Table1[[#This Row],[CE%]]</f>
        <v>1010652.4633821571</v>
      </c>
      <c r="AQ7" s="1">
        <v>5</v>
      </c>
      <c r="AR7" s="4">
        <f>Table1[[#This Row],[Neutro_count]]/Table1[[#This Row],[total count]]</f>
        <v>2.2192632046160675E-3</v>
      </c>
      <c r="AS7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4.0322580645161289E-2</v>
      </c>
      <c r="AT7" s="4">
        <f>Table1[[#This Row],[Neutro_count]]/(Table1[[#This Row],[Lympho_count]]+Table1[[#This Row],[FE_count]]+Table1[[#This Row],[CE_count]]+Table1[[#This Row],[Neutro_count]]+Table1[[#This Row],[Monocyte_count]]+Table1[[#This Row],[Basophil_count]])</f>
        <v>4.5045045045045043E-2</v>
      </c>
      <c r="AU7" s="2">
        <f>Table1[[#This Row],['[Cells'] c/ml]]*Table1[[#This Row],[Neutro%]]</f>
        <v>561473.59076786507</v>
      </c>
      <c r="AV7" s="5">
        <v>2</v>
      </c>
      <c r="AW7" s="4">
        <f>Table1[[#This Row],[Monocyte_count]]/Table1[[#This Row],[total count]]</f>
        <v>8.8770528184642697E-4</v>
      </c>
      <c r="AX7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1.6129032258064516E-2</v>
      </c>
      <c r="AY7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1.8018018018018018E-2</v>
      </c>
      <c r="AZ7" s="2">
        <f>Table1[[#This Row],['[Cells'] c/ml]]*Table1[[#This Row],[Monocyte%]]</f>
        <v>224589.43630714601</v>
      </c>
      <c r="BA7" s="1">
        <v>0</v>
      </c>
      <c r="BB7" s="4">
        <f>Table1[[#This Row],[Basophil_count]]/Table1[[#This Row],[total count]]</f>
        <v>0</v>
      </c>
      <c r="BC7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D7" s="4"/>
      <c r="BE7" s="2">
        <f>Table1[[#This Row],['[Cells'] c/ml]]*Table1[[#This Row],[Basophil%]]</f>
        <v>0</v>
      </c>
      <c r="BF7" s="1">
        <v>0</v>
      </c>
      <c r="BG7" s="4">
        <f>Table1[[#This Row],[immature_count]]/Table1[[#This Row],[total count]]</f>
        <v>0</v>
      </c>
      <c r="BH7" s="2">
        <f>Table1[[#This Row],['[Cells'] c/ml]]*Table1[[#This Row],[immature%]]</f>
        <v>0</v>
      </c>
      <c r="BI7" s="1">
        <v>0</v>
      </c>
      <c r="BJ7" s="4">
        <f>Table1[[#This Row],[mitosis_count]]/Table1[[#This Row],[total count]]</f>
        <v>0</v>
      </c>
      <c r="BK7" s="2">
        <f>Table1[[#This Row],['[Cells'] c/ml]]*Table1[[#This Row],[mitosis%]]</f>
        <v>0</v>
      </c>
      <c r="BL7" s="1">
        <v>0</v>
      </c>
      <c r="BM7" s="4">
        <f>Table1[[#This Row],[Abnormal_count]]/Table1[[#This Row],[total count]]</f>
        <v>0</v>
      </c>
      <c r="BN7" s="2">
        <f>Table1[[#This Row],['[Cells'] c/ml]]*Table1[[#This Row],[abnormal%]]</f>
        <v>0</v>
      </c>
    </row>
    <row r="8" spans="1:66" x14ac:dyDescent="0.25">
      <c r="A8" s="1" t="s">
        <v>8</v>
      </c>
      <c r="B8" s="1" t="s">
        <v>22</v>
      </c>
      <c r="C8" s="1" t="s">
        <v>15</v>
      </c>
      <c r="D8" s="1" t="s">
        <v>19</v>
      </c>
      <c r="E8" s="1">
        <v>4</v>
      </c>
      <c r="F8" s="3" t="s">
        <v>16</v>
      </c>
      <c r="G8" s="1" t="s">
        <v>16</v>
      </c>
      <c r="H8" s="2">
        <v>182000000</v>
      </c>
      <c r="I8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2197</v>
      </c>
      <c r="J8" s="1">
        <v>2006</v>
      </c>
      <c r="K8" s="4">
        <f>J8/SUM(J8+U8,Z8,AC7,AG8,AL8,AQ8,BA8,BF8,BI8)</f>
        <v>0.91223283310595726</v>
      </c>
      <c r="L8" s="2">
        <f>Table1[[#This Row],['[Cells'] c/ml]]*Table1[[#This Row],[Rbc%]]</f>
        <v>166026375.62528422</v>
      </c>
      <c r="M8" s="4">
        <f>SUM(Table1[[#This Row],[Lymoph%]],Table1[[#This Row],[FE%]],Table1[[#This Row],[GT%]],Table1[[#This Row],[CE%]],Table1[[#This Row],[Neutro%]],Table1[[#This Row],[Basophil%]])</f>
        <v>4.8702776513427401E-2</v>
      </c>
      <c r="N8" s="7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31.0625</v>
      </c>
      <c r="O8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25.066037735849058</v>
      </c>
      <c r="P8" s="2">
        <f>Table1[[#This Row],['[Cells'] c/ml]]*Table1[[#This Row],[granulocyte%]]</f>
        <v>8863905.3254437875</v>
      </c>
      <c r="Q8" s="4">
        <f>SUM(Table1[[#This Row],[Lymoph%]],Table1[[#This Row],[GT%]],Table1[[#This Row],[FE%]],Table1[[#This Row],[CE%]],Table1[[#This Row],[Neutro%]],Table1[[#This Row],[Basophil%]],Table1[[#This Row],[Monocyte%]])</f>
        <v>5.097860719162494E-2</v>
      </c>
      <c r="R8" s="2">
        <f>Table1[[#This Row],['[Cells'] c/ml]]*Table1[[#This Row],[wbc%]]</f>
        <v>9278106.5088757388</v>
      </c>
      <c r="S8" s="7">
        <f>Table1[[#This Row],['[wbc']]]/Table1[[#This Row],['[Granulocyte']]]</f>
        <v>1.0467289719626167</v>
      </c>
      <c r="T8" s="7">
        <f>Table1[[#This Row],['[Rbc']]]/Table1[[#This Row],['[wbc']]]</f>
        <v>17.894424413694537</v>
      </c>
      <c r="U8" s="1">
        <v>69</v>
      </c>
      <c r="V8" s="4">
        <f>Table1[[#This Row],[Lympho_count]]/Table1[[#This Row],[total count]]</f>
        <v>3.1406463359126079E-2</v>
      </c>
      <c r="W8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0.6160714285714286</v>
      </c>
      <c r="X8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0.65094339622641506</v>
      </c>
      <c r="Y8" s="2">
        <f>Table1[[#This Row],['[Cells'] c/ml]]*Table1[[#This Row],[Lymoph%]]</f>
        <v>5715976.3313609464</v>
      </c>
      <c r="Z8" s="1">
        <v>79</v>
      </c>
      <c r="AA8" s="4">
        <f>Table1[[#This Row],[Thrombo_count]]/Table1[[#This Row],[total count]]</f>
        <v>3.5958124715521164E-2</v>
      </c>
      <c r="AB8" s="2">
        <f>Table1[[#This Row],['[Cells'] c/ml]]*Table1[[#This Row],[Thrombo%]]</f>
        <v>6544378.6982248519</v>
      </c>
      <c r="AC8" s="1">
        <v>6</v>
      </c>
      <c r="AD8" s="4">
        <f>Table1[[#This Row],[GT_count]]/Table1[[#This Row],[total count]]</f>
        <v>2.7309968138370506E-3</v>
      </c>
      <c r="AE8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5.3571428571428568E-2</v>
      </c>
      <c r="AF8" s="2">
        <f>Table1[[#This Row],['[Cells'] c/ml]]*Table1[[#This Row],[GT%]]</f>
        <v>497041.4201183432</v>
      </c>
      <c r="AG8" s="1">
        <v>11</v>
      </c>
      <c r="AH8" s="4">
        <f>Table1[[#This Row],[FE_count]]/Table1[[#This Row],[total count]]</f>
        <v>5.0068274920345929E-3</v>
      </c>
      <c r="AI8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9.8214285714285712E-2</v>
      </c>
      <c r="AJ8" s="4">
        <f>Table1[[#This Row],[FE_count]]/(Table1[[#This Row],[Lympho_count]]+Table1[[#This Row],[FE_count]]+Table1[[#This Row],[CE_count]]+Table1[[#This Row],[Neutro_count]]+Table1[[#This Row],[Monocyte_count]]+Table1[[#This Row],[Basophil_count]])</f>
        <v>0.10377358490566038</v>
      </c>
      <c r="AK8" s="2">
        <f>Table1[[#This Row],['[Cells'] c/ml]]*Table1[[#This Row],[FE%]]</f>
        <v>911242.60355029593</v>
      </c>
      <c r="AL8" s="1">
        <v>14</v>
      </c>
      <c r="AM8" s="4">
        <f>Table1[[#This Row],[CE_count]]/Table1[[#This Row],[total count]]</f>
        <v>6.3723258989531175E-3</v>
      </c>
      <c r="AN8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0.125</v>
      </c>
      <c r="AO8" s="4">
        <f>Table1[[#This Row],[CE_count]]/(Table1[[#This Row],[Lympho_count]]+Table1[[#This Row],[FE_count]]+Table1[[#This Row],[CE_count]]+Table1[[#This Row],[Neutro_count]]+Table1[[#This Row],[Monocyte_count]]+Table1[[#This Row],[Basophil_count]])</f>
        <v>0.13207547169811321</v>
      </c>
      <c r="AP8" s="2">
        <f>Table1[[#This Row],['[Cells'] c/ml]]*Table1[[#This Row],[CE%]]</f>
        <v>1159763.3136094674</v>
      </c>
      <c r="AQ8" s="1">
        <v>7</v>
      </c>
      <c r="AR8" s="4">
        <f>Table1[[#This Row],[Neutro_count]]/Table1[[#This Row],[total count]]</f>
        <v>3.1861629494765588E-3</v>
      </c>
      <c r="AS8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6.25E-2</v>
      </c>
      <c r="AT8" s="4">
        <f>Table1[[#This Row],[Neutro_count]]/(Table1[[#This Row],[Lympho_count]]+Table1[[#This Row],[FE_count]]+Table1[[#This Row],[CE_count]]+Table1[[#This Row],[Neutro_count]]+Table1[[#This Row],[Monocyte_count]]+Table1[[#This Row],[Basophil_count]])</f>
        <v>6.6037735849056603E-2</v>
      </c>
      <c r="AU8" s="2">
        <f>Table1[[#This Row],['[Cells'] c/ml]]*Table1[[#This Row],[Neutro%]]</f>
        <v>579881.65680473368</v>
      </c>
      <c r="AV8" s="5">
        <v>5</v>
      </c>
      <c r="AW8" s="4">
        <f>Table1[[#This Row],[Monocyte_count]]/Table1[[#This Row],[total count]]</f>
        <v>2.2758306781975419E-3</v>
      </c>
      <c r="AX8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4.4642857142857144E-2</v>
      </c>
      <c r="AY8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4.716981132075472E-2</v>
      </c>
      <c r="AZ8" s="2">
        <f>Table1[[#This Row],['[Cells'] c/ml]]*Table1[[#This Row],[Monocyte%]]</f>
        <v>414201.18343195261</v>
      </c>
      <c r="BA8" s="1">
        <v>0</v>
      </c>
      <c r="BB8" s="4">
        <f>Table1[[#This Row],[Basophil_count]]/Table1[[#This Row],[total count]]</f>
        <v>0</v>
      </c>
      <c r="BC8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D8" s="4"/>
      <c r="BE8" s="2">
        <f>Table1[[#This Row],['[Cells'] c/ml]]*Table1[[#This Row],[Basophil%]]</f>
        <v>0</v>
      </c>
      <c r="BF8" s="1">
        <v>0</v>
      </c>
      <c r="BG8" s="4">
        <f>Table1[[#This Row],[immature_count]]/Table1[[#This Row],[total count]]</f>
        <v>0</v>
      </c>
      <c r="BH8" s="2">
        <f>Table1[[#This Row],['[Cells'] c/ml]]*Table1[[#This Row],[immature%]]</f>
        <v>0</v>
      </c>
      <c r="BI8" s="1">
        <v>0</v>
      </c>
      <c r="BJ8" s="4">
        <f>Table1[[#This Row],[mitosis_count]]/Table1[[#This Row],[total count]]</f>
        <v>0</v>
      </c>
      <c r="BK8" s="2">
        <f>Table1[[#This Row],['[Cells'] c/ml]]*Table1[[#This Row],[mitosis%]]</f>
        <v>0</v>
      </c>
      <c r="BL8" s="1">
        <v>0</v>
      </c>
      <c r="BM8" s="4">
        <f>Table1[[#This Row],[Abnormal_count]]/Table1[[#This Row],[total count]]</f>
        <v>0</v>
      </c>
      <c r="BN8" s="2">
        <f>Table1[[#This Row],['[Cells'] c/ml]]*Table1[[#This Row],[abnormal%]]</f>
        <v>0</v>
      </c>
    </row>
    <row r="9" spans="1:66" x14ac:dyDescent="0.25">
      <c r="A9" s="1" t="s">
        <v>8</v>
      </c>
      <c r="B9" s="1" t="s">
        <v>23</v>
      </c>
      <c r="C9" s="1" t="s">
        <v>15</v>
      </c>
      <c r="D9" s="1" t="s">
        <v>19</v>
      </c>
      <c r="E9" s="1">
        <v>4</v>
      </c>
      <c r="F9" s="3"/>
      <c r="G9" s="1" t="s">
        <v>16</v>
      </c>
      <c r="H9" s="2">
        <v>224000000</v>
      </c>
      <c r="I9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2203</v>
      </c>
      <c r="J9" s="1">
        <v>2030</v>
      </c>
      <c r="K9" s="4">
        <f t="shared" si="0"/>
        <v>0.92272727272727273</v>
      </c>
      <c r="L9" s="2">
        <f>Table1[[#This Row],['[Cells'] c/ml]]*Table1[[#This Row],[Rbc%]]</f>
        <v>206690909.09090909</v>
      </c>
      <c r="M9" s="4">
        <f>SUM(Table1[[#This Row],[Lymoph%]],Table1[[#This Row],[FE%]],Table1[[#This Row],[GT%]],Table1[[#This Row],[CE%]],Table1[[#This Row],[Neutro%]],Table1[[#This Row],[Basophil%]])</f>
        <v>5.7194734453018606E-2</v>
      </c>
      <c r="N9" s="7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39.046511627906973</v>
      </c>
      <c r="O9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34.048387096774192</v>
      </c>
      <c r="P9" s="2">
        <f>Table1[[#This Row],['[Cells'] c/ml]]*Table1[[#This Row],[granulocyte%]]</f>
        <v>12811620.517476168</v>
      </c>
      <c r="Q9" s="4">
        <f>SUM(Table1[[#This Row],[Lymoph%]],Table1[[#This Row],[GT%]],Table1[[#This Row],[FE%]],Table1[[#This Row],[CE%]],Table1[[#This Row],[Neutro%]],Table1[[#This Row],[Basophil%]],Table1[[#This Row],[Monocyte%]])</f>
        <v>5.8556513844757144E-2</v>
      </c>
      <c r="R9" s="2">
        <f>Table1[[#This Row],['[Cells'] c/ml]]*Table1[[#This Row],[wbc%]]</f>
        <v>13116659.1012256</v>
      </c>
      <c r="S9" s="7">
        <f>Table1[[#This Row],['[wbc']]]/Table1[[#This Row],['[Granulocyte']]]</f>
        <v>1.0238095238095237</v>
      </c>
      <c r="T9" s="7">
        <f>Table1[[#This Row],['[Rbc']]]/Table1[[#This Row],['[wbc']]]</f>
        <v>15.75789288231149</v>
      </c>
      <c r="U9" s="1">
        <v>80</v>
      </c>
      <c r="V9" s="4">
        <f>Table1[[#This Row],[Lympho_count]]/Table1[[#This Row],[total count]]</f>
        <v>3.6314117113027691E-2</v>
      </c>
      <c r="W9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0.62015503875968991</v>
      </c>
      <c r="X9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0.64516129032258063</v>
      </c>
      <c r="Y9" s="2">
        <f>Table1[[#This Row],['[Cells'] c/ml]]*Table1[[#This Row],[Lymoph%]]</f>
        <v>8134362.2333182031</v>
      </c>
      <c r="Z9" s="1">
        <v>44</v>
      </c>
      <c r="AA9" s="4">
        <f>Table1[[#This Row],[Thrombo_count]]/Table1[[#This Row],[total count]]</f>
        <v>1.997276441216523E-2</v>
      </c>
      <c r="AB9" s="2">
        <f>Table1[[#This Row],['[Cells'] c/ml]]*Table1[[#This Row],[Thrombo%]]</f>
        <v>4473899.2283250112</v>
      </c>
      <c r="AC9" s="1">
        <v>5</v>
      </c>
      <c r="AD9" s="4">
        <f>Table1[[#This Row],[GT_count]]/Table1[[#This Row],[total count]]</f>
        <v>2.2696323195642307E-3</v>
      </c>
      <c r="AE9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3.875968992248062E-2</v>
      </c>
      <c r="AF9" s="2">
        <f>Table1[[#This Row],['[Cells'] c/ml]]*Table1[[#This Row],[GT%]]</f>
        <v>508397.6395823877</v>
      </c>
      <c r="AG9" s="1">
        <v>19</v>
      </c>
      <c r="AH9" s="4">
        <f>Table1[[#This Row],[FE_count]]/Table1[[#This Row],[total count]]</f>
        <v>8.6246028143440769E-3</v>
      </c>
      <c r="AI9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0.14728682170542637</v>
      </c>
      <c r="AJ9" s="4">
        <f>Table1[[#This Row],[FE_count]]/(Table1[[#This Row],[Lympho_count]]+Table1[[#This Row],[FE_count]]+Table1[[#This Row],[CE_count]]+Table1[[#This Row],[Neutro_count]]+Table1[[#This Row],[Monocyte_count]]+Table1[[#This Row],[Basophil_count]])</f>
        <v>0.15322580645161291</v>
      </c>
      <c r="AK9" s="2">
        <f>Table1[[#This Row],['[Cells'] c/ml]]*Table1[[#This Row],[FE%]]</f>
        <v>1931911.0304130733</v>
      </c>
      <c r="AL9" s="1">
        <v>15</v>
      </c>
      <c r="AM9" s="4">
        <f>Table1[[#This Row],[CE_count]]/Table1[[#This Row],[total count]]</f>
        <v>6.8088969586926921E-3</v>
      </c>
      <c r="AN9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0.11627906976744186</v>
      </c>
      <c r="AO9" s="4">
        <f>Table1[[#This Row],[CE_count]]/(Table1[[#This Row],[Lympho_count]]+Table1[[#This Row],[FE_count]]+Table1[[#This Row],[CE_count]]+Table1[[#This Row],[Neutro_count]]+Table1[[#This Row],[Monocyte_count]]+Table1[[#This Row],[Basophil_count]])</f>
        <v>0.12096774193548387</v>
      </c>
      <c r="AP9" s="2">
        <f>Table1[[#This Row],['[Cells'] c/ml]]*Table1[[#This Row],[CE%]]</f>
        <v>1525192.9187471631</v>
      </c>
      <c r="AQ9" s="1">
        <v>6</v>
      </c>
      <c r="AR9" s="4">
        <f>Table1[[#This Row],[Neutro_count]]/Table1[[#This Row],[total count]]</f>
        <v>2.7235587834770767E-3</v>
      </c>
      <c r="AS9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4.6511627906976744E-2</v>
      </c>
      <c r="AT9" s="4">
        <f>Table1[[#This Row],[Neutro_count]]/(Table1[[#This Row],[Lympho_count]]+Table1[[#This Row],[FE_count]]+Table1[[#This Row],[CE_count]]+Table1[[#This Row],[Neutro_count]]+Table1[[#This Row],[Monocyte_count]]+Table1[[#This Row],[Basophil_count]])</f>
        <v>4.8387096774193547E-2</v>
      </c>
      <c r="AU9" s="2">
        <f>Table1[[#This Row],['[Cells'] c/ml]]*Table1[[#This Row],[Neutro%]]</f>
        <v>610077.16749886516</v>
      </c>
      <c r="AV9" s="5">
        <v>3</v>
      </c>
      <c r="AW9" s="4">
        <f>Table1[[#This Row],[Monocyte_count]]/Table1[[#This Row],[total count]]</f>
        <v>1.3617793917385383E-3</v>
      </c>
      <c r="AX9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2.3255813953488372E-2</v>
      </c>
      <c r="AY9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2.4193548387096774E-2</v>
      </c>
      <c r="AZ9" s="2">
        <f>Table1[[#This Row],['[Cells'] c/ml]]*Table1[[#This Row],[Monocyte%]]</f>
        <v>305038.58374943258</v>
      </c>
      <c r="BA9" s="1">
        <v>1</v>
      </c>
      <c r="BB9" s="4">
        <f>Table1[[#This Row],[Basophil_count]]/Table1[[#This Row],[total count]]</f>
        <v>4.5392646391284613E-4</v>
      </c>
      <c r="BC9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8.0645161290322578E-3</v>
      </c>
      <c r="BD9" s="4"/>
      <c r="BE9" s="2">
        <f>Table1[[#This Row],['[Cells'] c/ml]]*Table1[[#This Row],[Basophil%]]</f>
        <v>101679.52791647753</v>
      </c>
      <c r="BF9" s="1">
        <v>0</v>
      </c>
      <c r="BG9" s="4">
        <f>Table1[[#This Row],[immature_count]]/Table1[[#This Row],[total count]]</f>
        <v>0</v>
      </c>
      <c r="BH9" s="2">
        <f>Table1[[#This Row],['[Cells'] c/ml]]*Table1[[#This Row],[immature%]]</f>
        <v>0</v>
      </c>
      <c r="BI9" s="1">
        <v>0</v>
      </c>
      <c r="BJ9" s="4">
        <f>Table1[[#This Row],[mitosis_count]]/Table1[[#This Row],[total count]]</f>
        <v>0</v>
      </c>
      <c r="BK9" s="2">
        <f>Table1[[#This Row],['[Cells'] c/ml]]*Table1[[#This Row],[mitosis%]]</f>
        <v>0</v>
      </c>
      <c r="BL9" s="1">
        <v>0</v>
      </c>
      <c r="BM9" s="4">
        <f>Table1[[#This Row],[Abnormal_count]]/Table1[[#This Row],[total count]]</f>
        <v>0</v>
      </c>
      <c r="BN9" s="2">
        <f>Table1[[#This Row],['[Cells'] c/ml]]*Table1[[#This Row],[abnormal%]]</f>
        <v>0</v>
      </c>
    </row>
    <row r="10" spans="1:66" x14ac:dyDescent="0.25">
      <c r="F10" s="3"/>
      <c r="H10" s="2"/>
      <c r="K10" s="4"/>
      <c r="L10" s="2"/>
      <c r="M10" s="4"/>
      <c r="O10" s="7"/>
      <c r="P10" s="2"/>
      <c r="R10" s="2"/>
      <c r="V10" s="4"/>
      <c r="W10" s="4"/>
      <c r="X10" s="4"/>
      <c r="Y10" s="2"/>
      <c r="AA10" s="4"/>
      <c r="AB10" s="2"/>
      <c r="AD10" s="4"/>
      <c r="AE10" s="4"/>
      <c r="AF10" s="2"/>
      <c r="AH10" s="4"/>
      <c r="AI10" s="4"/>
      <c r="AJ10" s="4"/>
      <c r="AK10" s="2"/>
      <c r="AM10" s="4"/>
      <c r="AN10" s="4"/>
      <c r="AO10" s="4"/>
      <c r="AP10" s="2"/>
      <c r="AR10" s="4"/>
      <c r="AS10" s="4"/>
      <c r="AT10" s="4"/>
      <c r="AU10" s="2"/>
      <c r="AV10" s="5"/>
      <c r="AW10" s="4"/>
      <c r="AX10" s="4"/>
      <c r="AY10" s="4"/>
      <c r="AZ10" s="2"/>
      <c r="BA10" s="1"/>
      <c r="BB10" s="4"/>
      <c r="BC10" s="4"/>
      <c r="BD10" s="4"/>
      <c r="BE10" s="2"/>
      <c r="BF10" s="1"/>
      <c r="BG10" s="4"/>
      <c r="BH10" s="2"/>
      <c r="BI10" s="1"/>
      <c r="BJ10" s="4"/>
      <c r="BK10" s="2"/>
      <c r="BM10" s="4"/>
      <c r="BN10" s="2"/>
    </row>
    <row r="11" spans="1:66" x14ac:dyDescent="0.25">
      <c r="A11" s="1" t="s">
        <v>104</v>
      </c>
      <c r="B11" s="1" t="s">
        <v>24</v>
      </c>
      <c r="C11" s="1" t="s">
        <v>10</v>
      </c>
      <c r="D11" s="1" t="s">
        <v>25</v>
      </c>
      <c r="E11" s="1">
        <v>4</v>
      </c>
      <c r="F11" s="3" t="s">
        <v>12</v>
      </c>
      <c r="G11" s="1">
        <v>2</v>
      </c>
      <c r="H11" s="2">
        <v>561600000</v>
      </c>
      <c r="I11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2124</v>
      </c>
      <c r="J11" s="1">
        <v>2007</v>
      </c>
      <c r="K11" s="4">
        <f t="shared" ref="K11:K18" si="1">J11/SUM(J11+U11,Z11,AC11,AG11,AL11,AQ11,BA11,BF11,BI11)</f>
        <v>0.94759206798866857</v>
      </c>
      <c r="L11" s="2">
        <f>Table1[[#This Row],['[Cells'] c/ml]]*Table1[[#This Row],[Rbc%]]</f>
        <v>532167705.38243628</v>
      </c>
      <c r="M11" s="4">
        <f>SUM(Table1[[#This Row],[Lymoph%]],Table1[[#This Row],[FE%]],Table1[[#This Row],[GT%]],Table1[[#This Row],[CE%]],Table1[[#This Row],[Neutro%]],Table1[[#This Row],[Basophil%]])</f>
        <v>3.6723163841807904E-2</v>
      </c>
      <c r="N11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22.060240963855421</v>
      </c>
      <c r="O11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20.061728395061728</v>
      </c>
      <c r="P11" s="2">
        <f>Table1[[#This Row],['[Cells'] c/ml]]*Table1[[#This Row],[granulocyte%]]</f>
        <v>20623728.81355932</v>
      </c>
      <c r="Q11" s="4">
        <f>SUM(Table1[[#This Row],[Lymoph%]],Table1[[#This Row],[GT%]],Table1[[#This Row],[FE%]],Table1[[#This Row],[CE%]],Table1[[#This Row],[Neutro%]],Table1[[#This Row],[Basophil%]],Table1[[#This Row],[Monocyte%]])</f>
        <v>3.9077212806026357E-2</v>
      </c>
      <c r="R11" s="2">
        <f>Table1[[#This Row],['[Cells'] c/ml]]*Table1[[#This Row],[wbc%]]</f>
        <v>21945762.711864401</v>
      </c>
      <c r="S11" s="7">
        <f>Table1[[#This Row],['[wbc']]]/Table1[[#This Row],['[Granulocyte']]]</f>
        <v>1.0641025641025639</v>
      </c>
      <c r="T11" s="7">
        <f>Table1[[#This Row],['[Rbc']]]/Table1[[#This Row],['[wbc']]]</f>
        <v>24.24922352298714</v>
      </c>
      <c r="U11" s="1">
        <v>51</v>
      </c>
      <c r="V11" s="4">
        <f>Table1[[#This Row],[Lympho_count]]/Table1[[#This Row],[total count]]</f>
        <v>2.4011299435028249E-2</v>
      </c>
      <c r="W11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0.61445783132530118</v>
      </c>
      <c r="X11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0.62962962962962965</v>
      </c>
      <c r="Y11" s="2">
        <f>Table1[[#This Row],['[Cells'] c/ml]]*Table1[[#This Row],[Lymoph%]]</f>
        <v>13484745.762711864</v>
      </c>
      <c r="Z11" s="1">
        <v>27</v>
      </c>
      <c r="AA11" s="4">
        <f>Table1[[#This Row],[Thrombo_count]]/Table1[[#This Row],[total count]]</f>
        <v>1.2711864406779662E-2</v>
      </c>
      <c r="AB11" s="2">
        <f>Table1[[#This Row],['[Cells'] c/ml]]*Table1[[#This Row],[Thrombo%]]</f>
        <v>7138983.0508474577</v>
      </c>
      <c r="AC11" s="1">
        <v>2</v>
      </c>
      <c r="AD11" s="4">
        <f>Table1[[#This Row],[GT_count]]/Table1[[#This Row],[total count]]</f>
        <v>9.4161958568738226E-4</v>
      </c>
      <c r="AE11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2.4096385542168676E-2</v>
      </c>
      <c r="AF11" s="2">
        <f>Table1[[#This Row],['[Cells'] c/ml]]*Table1[[#This Row],[GT%]]</f>
        <v>528813.55932203389</v>
      </c>
      <c r="AG11" s="1">
        <v>8</v>
      </c>
      <c r="AH11" s="4">
        <f>Table1[[#This Row],[FE_count]]/Table1[[#This Row],[total count]]</f>
        <v>3.766478342749529E-3</v>
      </c>
      <c r="AI11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9.6385542168674704E-2</v>
      </c>
      <c r="AJ11" s="4">
        <f>Table1[[#This Row],[FE_count]]/(Table1[[#This Row],[Lympho_count]]+Table1[[#This Row],[FE_count]]+Table1[[#This Row],[CE_count]]+Table1[[#This Row],[Neutro_count]]+Table1[[#This Row],[Monocyte_count]]+Table1[[#This Row],[Basophil_count]])</f>
        <v>9.8765432098765427E-2</v>
      </c>
      <c r="AK11" s="2">
        <f>Table1[[#This Row],['[Cells'] c/ml]]*Table1[[#This Row],[FE%]]</f>
        <v>2115254.2372881356</v>
      </c>
      <c r="AL11" s="1">
        <v>12</v>
      </c>
      <c r="AM11" s="4">
        <f>Table1[[#This Row],[CE_count]]/Table1[[#This Row],[total count]]</f>
        <v>5.6497175141242938E-3</v>
      </c>
      <c r="AN11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0.14457831325301204</v>
      </c>
      <c r="AO11" s="4">
        <f>Table1[[#This Row],[CE_count]]/(Table1[[#This Row],[Lympho_count]]+Table1[[#This Row],[FE_count]]+Table1[[#This Row],[CE_count]]+Table1[[#This Row],[Neutro_count]]+Table1[[#This Row],[Monocyte_count]]+Table1[[#This Row],[Basophil_count]])</f>
        <v>0.14814814814814814</v>
      </c>
      <c r="AP11" s="2">
        <f>Table1[[#This Row],['[Cells'] c/ml]]*Table1[[#This Row],[CE%]]</f>
        <v>3172881.3559322036</v>
      </c>
      <c r="AQ11" s="1">
        <v>5</v>
      </c>
      <c r="AR11" s="4">
        <f>Table1[[#This Row],[Neutro_count]]/Table1[[#This Row],[total count]]</f>
        <v>2.3540489642184556E-3</v>
      </c>
      <c r="AS11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6.0240963855421686E-2</v>
      </c>
      <c r="AT11" s="4">
        <f>Table1[[#This Row],[Neutro_count]]/(Table1[[#This Row],[Lympho_count]]+Table1[[#This Row],[FE_count]]+Table1[[#This Row],[CE_count]]+Table1[[#This Row],[Neutro_count]]+Table1[[#This Row],[Monocyte_count]]+Table1[[#This Row],[Basophil_count]])</f>
        <v>6.1728395061728392E-2</v>
      </c>
      <c r="AU11" s="2">
        <f>Table1[[#This Row],['[Cells'] c/ml]]*Table1[[#This Row],[Neutro%]]</f>
        <v>1322033.8983050846</v>
      </c>
      <c r="AV11" s="5">
        <v>5</v>
      </c>
      <c r="AW11" s="4">
        <f>Table1[[#This Row],[Monocyte_count]]/Table1[[#This Row],[total count]]</f>
        <v>2.3540489642184556E-3</v>
      </c>
      <c r="AX11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6.0240963855421686E-2</v>
      </c>
      <c r="AY11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6.1728395061728392E-2</v>
      </c>
      <c r="AZ11" s="2">
        <f>Table1[[#This Row],['[Cells'] c/ml]]*Table1[[#This Row],[Monocyte%]]</f>
        <v>1322033.8983050846</v>
      </c>
      <c r="BA11" s="1">
        <v>0</v>
      </c>
      <c r="BB11" s="4">
        <f>Table1[[#This Row],[Basophil_count]]/Table1[[#This Row],[total count]]</f>
        <v>0</v>
      </c>
      <c r="BC11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D11" s="4"/>
      <c r="BE11" s="2">
        <f>Table1[[#This Row],['[Cells'] c/ml]]*Table1[[#This Row],[Basophil%]]</f>
        <v>0</v>
      </c>
      <c r="BF11" s="1">
        <v>5</v>
      </c>
      <c r="BG11" s="4">
        <f>Table1[[#This Row],[immature_count]]/Table1[[#This Row],[total count]]</f>
        <v>2.3540489642184556E-3</v>
      </c>
      <c r="BH11" s="2">
        <f>Table1[[#This Row],['[Cells'] c/ml]]*Table1[[#This Row],[immature%]]</f>
        <v>1322033.8983050846</v>
      </c>
      <c r="BI11" s="1">
        <v>1</v>
      </c>
      <c r="BJ11" s="4">
        <f>Table1[[#This Row],[mitosis_count]]/Table1[[#This Row],[total count]]</f>
        <v>4.7080979284369113E-4</v>
      </c>
      <c r="BK11" s="2">
        <f>Table1[[#This Row],['[Cells'] c/ml]]*Table1[[#This Row],[mitosis%]]</f>
        <v>264406.77966101695</v>
      </c>
      <c r="BL11" s="1">
        <v>1</v>
      </c>
      <c r="BM11" s="4">
        <f>Table1[[#This Row],[Abnormal_count]]/Table1[[#This Row],[total count]]</f>
        <v>4.7080979284369113E-4</v>
      </c>
      <c r="BN11" s="2">
        <f>Table1[[#This Row],['[Cells'] c/ml]]*Table1[[#This Row],[abnormal%]]</f>
        <v>264406.77966101695</v>
      </c>
    </row>
    <row r="12" spans="1:66" x14ac:dyDescent="0.25">
      <c r="A12" s="1" t="s">
        <v>104</v>
      </c>
      <c r="B12" s="1" t="s">
        <v>26</v>
      </c>
      <c r="C12" s="1" t="s">
        <v>10</v>
      </c>
      <c r="D12" s="1" t="s">
        <v>25</v>
      </c>
      <c r="E12" s="1">
        <v>4</v>
      </c>
      <c r="F12" s="3" t="s">
        <v>20</v>
      </c>
      <c r="G12" s="1">
        <v>0</v>
      </c>
      <c r="H12" s="2">
        <v>748800000</v>
      </c>
      <c r="I12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2204</v>
      </c>
      <c r="J12" s="1">
        <v>2064</v>
      </c>
      <c r="K12" s="4">
        <f t="shared" si="1"/>
        <v>0.93775556565197637</v>
      </c>
      <c r="L12" s="2">
        <f>Table1[[#This Row],['[Cells'] c/ml]]*Table1[[#This Row],[Rbc%]]</f>
        <v>702191367.56019986</v>
      </c>
      <c r="M12" s="4">
        <f>SUM(Table1[[#This Row],[Lymoph%]],Table1[[#This Row],[FE%]],Table1[[#This Row],[GT%]],Table1[[#This Row],[CE%]],Table1[[#This Row],[Neutro%]],Table1[[#This Row],[Basophil%]])</f>
        <v>3.1306715063520868E-2</v>
      </c>
      <c r="N12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29</v>
      </c>
      <c r="O12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25</v>
      </c>
      <c r="P12" s="2">
        <f>Table1[[#This Row],['[Cells'] c/ml]]*Table1[[#This Row],[granulocyte%]]</f>
        <v>23442468.239564426</v>
      </c>
      <c r="Q12" s="4">
        <f>SUM(Table1[[#This Row],[Lymoph%]],Table1[[#This Row],[GT%]],Table1[[#This Row],[FE%]],Table1[[#This Row],[CE%]],Table1[[#This Row],[Neutro%]],Table1[[#This Row],[Basophil%]],Table1[[#This Row],[Monocyte%]])</f>
        <v>3.2214156079854804E-2</v>
      </c>
      <c r="R12" s="2">
        <f>Table1[[#This Row],['[Cells'] c/ml]]*Table1[[#This Row],[wbc%]]</f>
        <v>24121960.072595276</v>
      </c>
      <c r="S12" s="7">
        <f>Table1[[#This Row],['[wbc']]]/Table1[[#This Row],['[Granulocyte']]]</f>
        <v>1.0289855072463767</v>
      </c>
      <c r="T12" s="7">
        <f>Table1[[#This Row],['[Rbc']]]/Table1[[#This Row],['[wbc']]]</f>
        <v>29.110046009816283</v>
      </c>
      <c r="U12" s="1">
        <v>40</v>
      </c>
      <c r="V12" s="4">
        <f>Table1[[#This Row],[Lympho_count]]/Table1[[#This Row],[total count]]</f>
        <v>1.8148820326678767E-2</v>
      </c>
      <c r="W12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0.56338028169014087</v>
      </c>
      <c r="X12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0.59701492537313428</v>
      </c>
      <c r="Y12" s="2">
        <f>Table1[[#This Row],['[Cells'] c/ml]]*Table1[[#This Row],[Lymoph%]]</f>
        <v>13589836.660617061</v>
      </c>
      <c r="Z12" s="1">
        <v>64</v>
      </c>
      <c r="AA12" s="4">
        <f>Table1[[#This Row],[Thrombo_count]]/Table1[[#This Row],[total count]]</f>
        <v>2.9038112522686024E-2</v>
      </c>
      <c r="AB12" s="2">
        <f>Table1[[#This Row],['[Cells'] c/ml]]*Table1[[#This Row],[Thrombo%]]</f>
        <v>21743738.656987295</v>
      </c>
      <c r="AC12" s="1">
        <v>4</v>
      </c>
      <c r="AD12" s="4">
        <f>Table1[[#This Row],[GT_count]]/Table1[[#This Row],[total count]]</f>
        <v>1.8148820326678765E-3</v>
      </c>
      <c r="AE12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5.6338028169014086E-2</v>
      </c>
      <c r="AF12" s="2">
        <f>Table1[[#This Row],['[Cells'] c/ml]]*Table1[[#This Row],[GT%]]</f>
        <v>1358983.6660617059</v>
      </c>
      <c r="AG12" s="1">
        <v>13</v>
      </c>
      <c r="AH12" s="4">
        <f>Table1[[#This Row],[FE_count]]/Table1[[#This Row],[total count]]</f>
        <v>5.8983666061705993E-3</v>
      </c>
      <c r="AI12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0.18309859154929578</v>
      </c>
      <c r="AJ12" s="4">
        <f>Table1[[#This Row],[FE_count]]/(Table1[[#This Row],[Lympho_count]]+Table1[[#This Row],[FE_count]]+Table1[[#This Row],[CE_count]]+Table1[[#This Row],[Neutro_count]]+Table1[[#This Row],[Monocyte_count]]+Table1[[#This Row],[Basophil_count]])</f>
        <v>0.19402985074626866</v>
      </c>
      <c r="AK12" s="2">
        <f>Table1[[#This Row],['[Cells'] c/ml]]*Table1[[#This Row],[FE%]]</f>
        <v>4416696.9147005444</v>
      </c>
      <c r="AL12" s="1">
        <v>12</v>
      </c>
      <c r="AM12" s="4">
        <f>Table1[[#This Row],[CE_count]]/Table1[[#This Row],[total count]]</f>
        <v>5.4446460980036296E-3</v>
      </c>
      <c r="AN12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0.16901408450704225</v>
      </c>
      <c r="AO12" s="4">
        <f>Table1[[#This Row],[CE_count]]/(Table1[[#This Row],[Lympho_count]]+Table1[[#This Row],[FE_count]]+Table1[[#This Row],[CE_count]]+Table1[[#This Row],[Neutro_count]]+Table1[[#This Row],[Monocyte_count]]+Table1[[#This Row],[Basophil_count]])</f>
        <v>0.17910447761194029</v>
      </c>
      <c r="AP12" s="2">
        <f>Table1[[#This Row],['[Cells'] c/ml]]*Table1[[#This Row],[CE%]]</f>
        <v>4076950.9981851177</v>
      </c>
      <c r="AQ12" s="1">
        <v>0</v>
      </c>
      <c r="AR12" s="4">
        <f>Table1[[#This Row],[Neutro_count]]/Table1[[#This Row],[total count]]</f>
        <v>0</v>
      </c>
      <c r="AS12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0</v>
      </c>
      <c r="AT12" s="4">
        <f>Table1[[#This Row],[Neutro_count]]/(Table1[[#This Row],[Lympho_count]]+Table1[[#This Row],[FE_count]]+Table1[[#This Row],[CE_count]]+Table1[[#This Row],[Neutro_count]]+Table1[[#This Row],[Monocyte_count]]+Table1[[#This Row],[Basophil_count]])</f>
        <v>0</v>
      </c>
      <c r="AU12" s="2">
        <f>Table1[[#This Row],['[Cells'] c/ml]]*Table1[[#This Row],[Neutro%]]</f>
        <v>0</v>
      </c>
      <c r="AV12" s="5">
        <v>2</v>
      </c>
      <c r="AW12" s="4">
        <f>Table1[[#This Row],[Monocyte_count]]/Table1[[#This Row],[total count]]</f>
        <v>9.0744101633393826E-4</v>
      </c>
      <c r="AX12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2.8169014084507043E-2</v>
      </c>
      <c r="AY12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2.9850746268656716E-2</v>
      </c>
      <c r="AZ12" s="2">
        <f>Table1[[#This Row],['[Cells'] c/ml]]*Table1[[#This Row],[Monocyte%]]</f>
        <v>679491.83303085295</v>
      </c>
      <c r="BA12" s="1">
        <v>0</v>
      </c>
      <c r="BB12" s="4">
        <f>Table1[[#This Row],[Basophil_count]]/Table1[[#This Row],[total count]]</f>
        <v>0</v>
      </c>
      <c r="BC12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D12" s="4"/>
      <c r="BE12" s="2">
        <f>Table1[[#This Row],['[Cells'] c/ml]]*Table1[[#This Row],[Basophil%]]</f>
        <v>0</v>
      </c>
      <c r="BF12" s="1">
        <v>4</v>
      </c>
      <c r="BG12" s="4">
        <f>Table1[[#This Row],[immature_count]]/Table1[[#This Row],[total count]]</f>
        <v>1.8148820326678765E-3</v>
      </c>
      <c r="BH12" s="2">
        <f>Table1[[#This Row],['[Cells'] c/ml]]*Table1[[#This Row],[immature%]]</f>
        <v>1358983.6660617059</v>
      </c>
      <c r="BI12" s="1">
        <v>0</v>
      </c>
      <c r="BJ12" s="4">
        <f>Table1[[#This Row],[mitosis_count]]/Table1[[#This Row],[total count]]</f>
        <v>0</v>
      </c>
      <c r="BK12" s="2">
        <f>Table1[[#This Row],['[Cells'] c/ml]]*Table1[[#This Row],[mitosis%]]</f>
        <v>0</v>
      </c>
      <c r="BL12" s="1">
        <v>1</v>
      </c>
      <c r="BM12" s="4">
        <f>Table1[[#This Row],[Abnormal_count]]/Table1[[#This Row],[total count]]</f>
        <v>4.5372050816696913E-4</v>
      </c>
      <c r="BN12" s="2">
        <f>Table1[[#This Row],['[Cells'] c/ml]]*Table1[[#This Row],[abnormal%]]</f>
        <v>339745.91651542648</v>
      </c>
    </row>
    <row r="13" spans="1:66" x14ac:dyDescent="0.25">
      <c r="A13" s="1" t="s">
        <v>104</v>
      </c>
      <c r="B13" s="1" t="s">
        <v>27</v>
      </c>
      <c r="C13" s="1" t="s">
        <v>15</v>
      </c>
      <c r="D13" s="1" t="s">
        <v>25</v>
      </c>
      <c r="E13" s="1">
        <v>4</v>
      </c>
      <c r="F13" s="3" t="s">
        <v>16</v>
      </c>
      <c r="G13" s="1" t="s">
        <v>16</v>
      </c>
      <c r="H13" s="2">
        <v>652800000</v>
      </c>
      <c r="I13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2144</v>
      </c>
      <c r="J13" s="1">
        <v>2052</v>
      </c>
      <c r="K13" s="4">
        <f t="shared" si="1"/>
        <v>0.95887850467289715</v>
      </c>
      <c r="L13" s="2">
        <f>Table1[[#This Row],['[Cells'] c/ml]]*Table1[[#This Row],[Rbc%]]</f>
        <v>625955887.85046721</v>
      </c>
      <c r="M13" s="4">
        <f>SUM(Table1[[#This Row],[Lymoph%]],Table1[[#This Row],[FE%]],Table1[[#This Row],[GT%]],Table1[[#This Row],[CE%]],Table1[[#This Row],[Neutro%]],Table1[[#This Row],[Basophil%]])</f>
        <v>2.4253731343283586E-2</v>
      </c>
      <c r="N13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16.036363636363635</v>
      </c>
      <c r="O13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15.037037037037036</v>
      </c>
      <c r="P13" s="2">
        <f>Table1[[#This Row],['[Cells'] c/ml]]*Table1[[#This Row],[granulocyte%]]</f>
        <v>15832835.820895525</v>
      </c>
      <c r="Q13" s="4">
        <f>SUM(Table1[[#This Row],[Lymoph%]],Table1[[#This Row],[GT%]],Table1[[#This Row],[FE%]],Table1[[#This Row],[CE%]],Table1[[#This Row],[Neutro%]],Table1[[#This Row],[Basophil%]],Table1[[#This Row],[Monocyte%]])</f>
        <v>2.565298507462687E-2</v>
      </c>
      <c r="R13" s="2">
        <f>Table1[[#This Row],['[Cells'] c/ml]]*Table1[[#This Row],[wbc%]]</f>
        <v>16746268.656716421</v>
      </c>
      <c r="S13" s="7">
        <f>Table1[[#This Row],['[wbc']]]/Table1[[#This Row],['[Granulocyte']]]</f>
        <v>1.0576923076923077</v>
      </c>
      <c r="T13" s="7">
        <f>Table1[[#This Row],['[Rbc']]]/Table1[[#This Row],['[wbc']]]</f>
        <v>37.378827527612565</v>
      </c>
      <c r="U13" s="1">
        <v>34</v>
      </c>
      <c r="V13" s="4">
        <f>Table1[[#This Row],[Lympho_count]]/Table1[[#This Row],[total count]]</f>
        <v>1.5858208955223881E-2</v>
      </c>
      <c r="W13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0.61818181818181817</v>
      </c>
      <c r="X13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0.62962962962962965</v>
      </c>
      <c r="Y13" s="2">
        <f>Table1[[#This Row],['[Cells'] c/ml]]*Table1[[#This Row],[Lymoph%]]</f>
        <v>10352238.805970149</v>
      </c>
      <c r="Z13" s="1">
        <v>36</v>
      </c>
      <c r="AA13" s="4">
        <f>Table1[[#This Row],[Thrombo_count]]/Table1[[#This Row],[total count]]</f>
        <v>1.6791044776119403E-2</v>
      </c>
      <c r="AB13" s="2">
        <f>Table1[[#This Row],['[Cells'] c/ml]]*Table1[[#This Row],[Thrombo%]]</f>
        <v>10961194.029850746</v>
      </c>
      <c r="AC13" s="1">
        <v>1</v>
      </c>
      <c r="AD13" s="4">
        <f>Table1[[#This Row],[GT_count]]/Table1[[#This Row],[total count]]</f>
        <v>4.6641791044776119E-4</v>
      </c>
      <c r="AE13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1.8181818181818181E-2</v>
      </c>
      <c r="AF13" s="2">
        <f>Table1[[#This Row],['[Cells'] c/ml]]*Table1[[#This Row],[GT%]]</f>
        <v>304477.61194029852</v>
      </c>
      <c r="AG13" s="1">
        <v>6</v>
      </c>
      <c r="AH13" s="4">
        <f>Table1[[#This Row],[FE_count]]/Table1[[#This Row],[total count]]</f>
        <v>2.798507462686567E-3</v>
      </c>
      <c r="AI13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0.10909090909090909</v>
      </c>
      <c r="AJ13" s="4">
        <f>Table1[[#This Row],[FE_count]]/(Table1[[#This Row],[Lympho_count]]+Table1[[#This Row],[FE_count]]+Table1[[#This Row],[CE_count]]+Table1[[#This Row],[Neutro_count]]+Table1[[#This Row],[Monocyte_count]]+Table1[[#This Row],[Basophil_count]])</f>
        <v>0.1111111111111111</v>
      </c>
      <c r="AK13" s="2">
        <f>Table1[[#This Row],['[Cells'] c/ml]]*Table1[[#This Row],[FE%]]</f>
        <v>1826865.671641791</v>
      </c>
      <c r="AL13" s="1">
        <v>9</v>
      </c>
      <c r="AM13" s="4">
        <f>Table1[[#This Row],[CE_count]]/Table1[[#This Row],[total count]]</f>
        <v>4.1977611940298507E-3</v>
      </c>
      <c r="AN13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0.16363636363636364</v>
      </c>
      <c r="AO13" s="4">
        <f>Table1[[#This Row],[CE_count]]/(Table1[[#This Row],[Lympho_count]]+Table1[[#This Row],[FE_count]]+Table1[[#This Row],[CE_count]]+Table1[[#This Row],[Neutro_count]]+Table1[[#This Row],[Monocyte_count]]+Table1[[#This Row],[Basophil_count]])</f>
        <v>0.16666666666666666</v>
      </c>
      <c r="AP13" s="2">
        <f>Table1[[#This Row],['[Cells'] c/ml]]*Table1[[#This Row],[CE%]]</f>
        <v>2740298.5074626864</v>
      </c>
      <c r="AQ13" s="1">
        <v>2</v>
      </c>
      <c r="AR13" s="4">
        <f>Table1[[#This Row],[Neutro_count]]/Table1[[#This Row],[total count]]</f>
        <v>9.3283582089552237E-4</v>
      </c>
      <c r="AS13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3.6363636363636362E-2</v>
      </c>
      <c r="AT13" s="4">
        <f>Table1[[#This Row],[Neutro_count]]/(Table1[[#This Row],[Lympho_count]]+Table1[[#This Row],[FE_count]]+Table1[[#This Row],[CE_count]]+Table1[[#This Row],[Neutro_count]]+Table1[[#This Row],[Monocyte_count]]+Table1[[#This Row],[Basophil_count]])</f>
        <v>3.7037037037037035E-2</v>
      </c>
      <c r="AU13" s="2">
        <f>Table1[[#This Row],['[Cells'] c/ml]]*Table1[[#This Row],[Neutro%]]</f>
        <v>608955.22388059704</v>
      </c>
      <c r="AV13" s="5">
        <v>3</v>
      </c>
      <c r="AW13" s="4">
        <f>Table1[[#This Row],[Monocyte_count]]/Table1[[#This Row],[total count]]</f>
        <v>1.3992537313432835E-3</v>
      </c>
      <c r="AX13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5.4545454545454543E-2</v>
      </c>
      <c r="AY13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5.5555555555555552E-2</v>
      </c>
      <c r="AZ13" s="2">
        <f>Table1[[#This Row],['[Cells'] c/ml]]*Table1[[#This Row],[Monocyte%]]</f>
        <v>913432.8358208955</v>
      </c>
      <c r="BA13" s="1">
        <v>0</v>
      </c>
      <c r="BB13" s="4">
        <f>Table1[[#This Row],[Basophil_count]]/Table1[[#This Row],[total count]]</f>
        <v>0</v>
      </c>
      <c r="BC13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D13" s="4"/>
      <c r="BE13" s="2">
        <f>Table1[[#This Row],['[Cells'] c/ml]]*Table1[[#This Row],[Basophil%]]</f>
        <v>0</v>
      </c>
      <c r="BF13" s="1">
        <v>0</v>
      </c>
      <c r="BG13" s="4">
        <f>Table1[[#This Row],[immature_count]]/Table1[[#This Row],[total count]]</f>
        <v>0</v>
      </c>
      <c r="BH13" s="2">
        <f>Table1[[#This Row],['[Cells'] c/ml]]*Table1[[#This Row],[immature%]]</f>
        <v>0</v>
      </c>
      <c r="BI13" s="1">
        <v>0</v>
      </c>
      <c r="BJ13" s="4">
        <f>Table1[[#This Row],[mitosis_count]]/Table1[[#This Row],[total count]]</f>
        <v>0</v>
      </c>
      <c r="BK13" s="2">
        <f>Table1[[#This Row],['[Cells'] c/ml]]*Table1[[#This Row],[mitosis%]]</f>
        <v>0</v>
      </c>
      <c r="BL13" s="1">
        <v>1</v>
      </c>
      <c r="BM13" s="4">
        <f>Table1[[#This Row],[Abnormal_count]]/Table1[[#This Row],[total count]]</f>
        <v>4.6641791044776119E-4</v>
      </c>
      <c r="BN13" s="2">
        <f>Table1[[#This Row],['[Cells'] c/ml]]*Table1[[#This Row],[abnormal%]]</f>
        <v>304477.61194029852</v>
      </c>
    </row>
    <row r="14" spans="1:66" x14ac:dyDescent="0.25">
      <c r="A14" s="1" t="s">
        <v>104</v>
      </c>
      <c r="B14" s="1" t="s">
        <v>28</v>
      </c>
      <c r="C14" s="1" t="s">
        <v>15</v>
      </c>
      <c r="D14" s="1" t="s">
        <v>25</v>
      </c>
      <c r="E14" s="1">
        <v>4</v>
      </c>
      <c r="F14" s="3" t="s">
        <v>16</v>
      </c>
      <c r="G14" s="1" t="s">
        <v>16</v>
      </c>
      <c r="H14" s="2">
        <v>964800000</v>
      </c>
      <c r="I14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2184</v>
      </c>
      <c r="J14" s="1">
        <v>2073</v>
      </c>
      <c r="K14" s="4">
        <f t="shared" si="1"/>
        <v>0.95048143053645118</v>
      </c>
      <c r="L14" s="2">
        <f>Table1[[#This Row],['[Cells'] c/ml]]*Table1[[#This Row],[Rbc%]]</f>
        <v>917024484.18156815</v>
      </c>
      <c r="M14" s="4">
        <f>SUM(Table1[[#This Row],[Lymoph%]],Table1[[#This Row],[FE%]],Table1[[#This Row],[GT%]],Table1[[#This Row],[CE%]],Table1[[#This Row],[Neutro%]],Table1[[#This Row],[Basophil%]])</f>
        <v>3.1135531135531129E-2</v>
      </c>
      <c r="N14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39</v>
      </c>
      <c r="O14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30</v>
      </c>
      <c r="P14" s="2">
        <f>Table1[[#This Row],['[Cells'] c/ml]]*Table1[[#This Row],[granulocyte%]]</f>
        <v>30039560.439560432</v>
      </c>
      <c r="Q14" s="4">
        <f>SUM(Table1[[#This Row],[Lymoph%]],Table1[[#This Row],[GT%]],Table1[[#This Row],[FE%]],Table1[[#This Row],[CE%]],Table1[[#This Row],[Neutro%]],Table1[[#This Row],[Basophil%]],Table1[[#This Row],[Monocyte%]])</f>
        <v>3.2509157509157505E-2</v>
      </c>
      <c r="R14" s="2">
        <f>Table1[[#This Row],['[Cells'] c/ml]]*Table1[[#This Row],[wbc%]]</f>
        <v>31364835.164835159</v>
      </c>
      <c r="S14" s="7">
        <f>Table1[[#This Row],['[wbc']]]/Table1[[#This Row],['[Granulocyte']]]</f>
        <v>1.0441176470588236</v>
      </c>
      <c r="T14" s="7">
        <f>Table1[[#This Row],['[Rbc']]]/Table1[[#This Row],['[wbc']]]</f>
        <v>29.237344285797324</v>
      </c>
      <c r="U14" s="1">
        <v>28</v>
      </c>
      <c r="V14" s="4">
        <f>Table1[[#This Row],[Lympho_count]]/Table1[[#This Row],[total count]]</f>
        <v>1.282051282051282E-2</v>
      </c>
      <c r="W14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0.39436619718309857</v>
      </c>
      <c r="X14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0.45161290322580644</v>
      </c>
      <c r="Y14" s="2">
        <f>Table1[[#This Row],['[Cells'] c/ml]]*Table1[[#This Row],[Lymoph%]]</f>
        <v>12369230.769230768</v>
      </c>
      <c r="Z14" s="1">
        <v>40</v>
      </c>
      <c r="AA14" s="4">
        <f>Table1[[#This Row],[Thrombo_count]]/Table1[[#This Row],[total count]]</f>
        <v>1.8315018315018316E-2</v>
      </c>
      <c r="AB14" s="2">
        <f>Table1[[#This Row],['[Cells'] c/ml]]*Table1[[#This Row],[Thrombo%]]</f>
        <v>17670329.670329671</v>
      </c>
      <c r="AC14" s="1">
        <v>9</v>
      </c>
      <c r="AD14" s="4">
        <f>Table1[[#This Row],[GT_count]]/Table1[[#This Row],[total count]]</f>
        <v>4.120879120879121E-3</v>
      </c>
      <c r="AE14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0.12676056338028169</v>
      </c>
      <c r="AF14" s="2">
        <f>Table1[[#This Row],['[Cells'] c/ml]]*Table1[[#This Row],[GT%]]</f>
        <v>3975824.1758241761</v>
      </c>
      <c r="AG14" s="1">
        <v>16</v>
      </c>
      <c r="AH14" s="4">
        <f>Table1[[#This Row],[FE_count]]/Table1[[#This Row],[total count]]</f>
        <v>7.326007326007326E-3</v>
      </c>
      <c r="AI14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0.22535211267605634</v>
      </c>
      <c r="AJ14" s="4">
        <f>Table1[[#This Row],[FE_count]]/(Table1[[#This Row],[Lympho_count]]+Table1[[#This Row],[FE_count]]+Table1[[#This Row],[CE_count]]+Table1[[#This Row],[Neutro_count]]+Table1[[#This Row],[Monocyte_count]]+Table1[[#This Row],[Basophil_count]])</f>
        <v>0.25806451612903225</v>
      </c>
      <c r="AK14" s="2">
        <f>Table1[[#This Row],['[Cells'] c/ml]]*Table1[[#This Row],[FE%]]</f>
        <v>7068131.8681318685</v>
      </c>
      <c r="AL14" s="1">
        <v>14</v>
      </c>
      <c r="AM14" s="4">
        <f>Table1[[#This Row],[CE_count]]/Table1[[#This Row],[total count]]</f>
        <v>6.41025641025641E-3</v>
      </c>
      <c r="AN14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0.19718309859154928</v>
      </c>
      <c r="AO14" s="4">
        <f>Table1[[#This Row],[CE_count]]/(Table1[[#This Row],[Lympho_count]]+Table1[[#This Row],[FE_count]]+Table1[[#This Row],[CE_count]]+Table1[[#This Row],[Neutro_count]]+Table1[[#This Row],[Monocyte_count]]+Table1[[#This Row],[Basophil_count]])</f>
        <v>0.22580645161290322</v>
      </c>
      <c r="AP14" s="2">
        <f>Table1[[#This Row],['[Cells'] c/ml]]*Table1[[#This Row],[CE%]]</f>
        <v>6184615.384615384</v>
      </c>
      <c r="AQ14" s="1">
        <v>0</v>
      </c>
      <c r="AR14" s="4">
        <f>Table1[[#This Row],[Neutro_count]]/Table1[[#This Row],[total count]]</f>
        <v>0</v>
      </c>
      <c r="AS14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0</v>
      </c>
      <c r="AT14" s="4">
        <f>Table1[[#This Row],[Neutro_count]]/(Table1[[#This Row],[Lympho_count]]+Table1[[#This Row],[FE_count]]+Table1[[#This Row],[CE_count]]+Table1[[#This Row],[Neutro_count]]+Table1[[#This Row],[Monocyte_count]]+Table1[[#This Row],[Basophil_count]])</f>
        <v>0</v>
      </c>
      <c r="AU14" s="2">
        <f>Table1[[#This Row],['[Cells'] c/ml]]*Table1[[#This Row],[Neutro%]]</f>
        <v>0</v>
      </c>
      <c r="AV14" s="5">
        <v>3</v>
      </c>
      <c r="AW14" s="4">
        <f>Table1[[#This Row],[Monocyte_count]]/Table1[[#This Row],[total count]]</f>
        <v>1.3736263736263737E-3</v>
      </c>
      <c r="AX14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4.2253521126760563E-2</v>
      </c>
      <c r="AY14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4.8387096774193547E-2</v>
      </c>
      <c r="AZ14" s="2">
        <f>Table1[[#This Row],['[Cells'] c/ml]]*Table1[[#This Row],[Monocyte%]]</f>
        <v>1325274.7252747254</v>
      </c>
      <c r="BA14" s="1">
        <v>1</v>
      </c>
      <c r="BB14" s="4">
        <f>Table1[[#This Row],[Basophil_count]]/Table1[[#This Row],[total count]]</f>
        <v>4.5787545787545788E-4</v>
      </c>
      <c r="BC14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1.6129032258064516E-2</v>
      </c>
      <c r="BD14" s="4"/>
      <c r="BE14" s="2">
        <f>Table1[[#This Row],['[Cells'] c/ml]]*Table1[[#This Row],[Basophil%]]</f>
        <v>441758.24175824178</v>
      </c>
      <c r="BF14" s="1">
        <v>0</v>
      </c>
      <c r="BG14" s="4">
        <f>Table1[[#This Row],[immature_count]]/Table1[[#This Row],[total count]]</f>
        <v>0</v>
      </c>
      <c r="BH14" s="2">
        <f>Table1[[#This Row],['[Cells'] c/ml]]*Table1[[#This Row],[immature%]]</f>
        <v>0</v>
      </c>
      <c r="BI14" s="1">
        <v>0</v>
      </c>
      <c r="BJ14" s="4">
        <f>Table1[[#This Row],[mitosis_count]]/Table1[[#This Row],[total count]]</f>
        <v>0</v>
      </c>
      <c r="BK14" s="2">
        <f>Table1[[#This Row],['[Cells'] c/ml]]*Table1[[#This Row],[mitosis%]]</f>
        <v>0</v>
      </c>
      <c r="BL14" s="1">
        <v>0</v>
      </c>
      <c r="BM14" s="4">
        <f>Table1[[#This Row],[Abnormal_count]]/Table1[[#This Row],[total count]]</f>
        <v>0</v>
      </c>
      <c r="BN14" s="2">
        <f>Table1[[#This Row],['[Cells'] c/ml]]*Table1[[#This Row],[abnormal%]]</f>
        <v>0</v>
      </c>
    </row>
    <row r="15" spans="1:66" x14ac:dyDescent="0.25">
      <c r="A15" s="1" t="s">
        <v>104</v>
      </c>
      <c r="B15" s="1" t="s">
        <v>29</v>
      </c>
      <c r="C15" s="1" t="s">
        <v>10</v>
      </c>
      <c r="D15" s="1" t="s">
        <v>30</v>
      </c>
      <c r="E15" s="1">
        <v>4</v>
      </c>
      <c r="F15" s="3" t="s">
        <v>20</v>
      </c>
      <c r="G15" s="1">
        <v>0</v>
      </c>
      <c r="H15" s="2">
        <v>876000000</v>
      </c>
      <c r="I15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2145</v>
      </c>
      <c r="J15" s="1">
        <v>2023</v>
      </c>
      <c r="K15" s="4">
        <f t="shared" si="1"/>
        <v>0.94488556749182628</v>
      </c>
      <c r="L15" s="2">
        <f>Table1[[#This Row],['[Cells'] c/ml]]*Table1[[#This Row],[Rbc%]]</f>
        <v>827719757.12283981</v>
      </c>
      <c r="M15" s="4">
        <f>SUM(Table1[[#This Row],[Lymoph%]],Table1[[#This Row],[FE%]],Table1[[#This Row],[GT%]],Table1[[#This Row],[CE%]],Table1[[#This Row],[Neutro%]],Table1[[#This Row],[Basophil%]])</f>
        <v>2.9370629370629377E-2</v>
      </c>
      <c r="N15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21.029850746268657</v>
      </c>
      <c r="O15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19.030769230769231</v>
      </c>
      <c r="P15" s="2">
        <f>Table1[[#This Row],['[Cells'] c/ml]]*Table1[[#This Row],[granulocyte%]]</f>
        <v>25728671.328671332</v>
      </c>
      <c r="Q15" s="4">
        <f>SUM(Table1[[#This Row],[Lymoph%]],Table1[[#This Row],[GT%]],Table1[[#This Row],[FE%]],Table1[[#This Row],[CE%]],Table1[[#This Row],[Neutro%]],Table1[[#This Row],[Basophil%]],Table1[[#This Row],[Monocyte%]])</f>
        <v>3.1235431235431241E-2</v>
      </c>
      <c r="R15" s="2">
        <f>Table1[[#This Row],['[Cells'] c/ml]]*Table1[[#This Row],[wbc%]]</f>
        <v>27362237.762237769</v>
      </c>
      <c r="S15" s="7">
        <f>Table1[[#This Row],['[wbc']]]/Table1[[#This Row],['[Granulocyte']]]</f>
        <v>1.0634920634920635</v>
      </c>
      <c r="T15" s="7">
        <f>Table1[[#This Row],['[Rbc']]]/Table1[[#This Row],['[wbc']]]</f>
        <v>30.25044092940249</v>
      </c>
      <c r="U15" s="1">
        <v>39</v>
      </c>
      <c r="V15" s="4">
        <f>Table1[[#This Row],[Lympho_count]]/Table1[[#This Row],[total count]]</f>
        <v>1.8181818181818181E-2</v>
      </c>
      <c r="W15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0.58208955223880599</v>
      </c>
      <c r="X15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0.6</v>
      </c>
      <c r="Y15" s="2">
        <f>Table1[[#This Row],['[Cells'] c/ml]]*Table1[[#This Row],[Lymoph%]]</f>
        <v>15927272.727272727</v>
      </c>
      <c r="Z15" s="1">
        <v>55</v>
      </c>
      <c r="AA15" s="4">
        <f>Table1[[#This Row],[Thrombo_count]]/Table1[[#This Row],[total count]]</f>
        <v>2.564102564102564E-2</v>
      </c>
      <c r="AB15" s="2">
        <f>Table1[[#This Row],['[Cells'] c/ml]]*Table1[[#This Row],[Thrombo%]]</f>
        <v>22461538.46153846</v>
      </c>
      <c r="AC15" s="1">
        <v>2</v>
      </c>
      <c r="AD15" s="4">
        <f>Table1[[#This Row],[GT_count]]/Table1[[#This Row],[total count]]</f>
        <v>9.324009324009324E-4</v>
      </c>
      <c r="AE15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2.9850746268656716E-2</v>
      </c>
      <c r="AF15" s="2">
        <f>Table1[[#This Row],['[Cells'] c/ml]]*Table1[[#This Row],[GT%]]</f>
        <v>816783.21678321681</v>
      </c>
      <c r="AG15" s="1">
        <v>10</v>
      </c>
      <c r="AH15" s="4">
        <f>Table1[[#This Row],[FE_count]]/Table1[[#This Row],[total count]]</f>
        <v>4.662004662004662E-3</v>
      </c>
      <c r="AI15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0.14925373134328357</v>
      </c>
      <c r="AJ15" s="4">
        <f>Table1[[#This Row],[FE_count]]/(Table1[[#This Row],[Lympho_count]]+Table1[[#This Row],[FE_count]]+Table1[[#This Row],[CE_count]]+Table1[[#This Row],[Neutro_count]]+Table1[[#This Row],[Monocyte_count]]+Table1[[#This Row],[Basophil_count]])</f>
        <v>0.15384615384615385</v>
      </c>
      <c r="AK15" s="2">
        <f>Table1[[#This Row],['[Cells'] c/ml]]*Table1[[#This Row],[FE%]]</f>
        <v>4083916.0839160839</v>
      </c>
      <c r="AL15" s="1">
        <v>9</v>
      </c>
      <c r="AM15" s="4">
        <f>Table1[[#This Row],[CE_count]]/Table1[[#This Row],[total count]]</f>
        <v>4.1958041958041958E-3</v>
      </c>
      <c r="AN15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0.13432835820895522</v>
      </c>
      <c r="AO15" s="4">
        <f>Table1[[#This Row],[CE_count]]/(Table1[[#This Row],[Lympho_count]]+Table1[[#This Row],[FE_count]]+Table1[[#This Row],[CE_count]]+Table1[[#This Row],[Neutro_count]]+Table1[[#This Row],[Monocyte_count]]+Table1[[#This Row],[Basophil_count]])</f>
        <v>0.13846153846153847</v>
      </c>
      <c r="AP15" s="2">
        <f>Table1[[#This Row],['[Cells'] c/ml]]*Table1[[#This Row],[CE%]]</f>
        <v>3675524.4755244753</v>
      </c>
      <c r="AQ15" s="1">
        <v>2</v>
      </c>
      <c r="AR15" s="4">
        <f>Table1[[#This Row],[Neutro_count]]/Table1[[#This Row],[total count]]</f>
        <v>9.324009324009324E-4</v>
      </c>
      <c r="AS15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2.9850746268656716E-2</v>
      </c>
      <c r="AT15" s="4">
        <f>Table1[[#This Row],[Neutro_count]]/(Table1[[#This Row],[Lympho_count]]+Table1[[#This Row],[FE_count]]+Table1[[#This Row],[CE_count]]+Table1[[#This Row],[Neutro_count]]+Table1[[#This Row],[Monocyte_count]]+Table1[[#This Row],[Basophil_count]])</f>
        <v>3.0769230769230771E-2</v>
      </c>
      <c r="AU15" s="2">
        <f>Table1[[#This Row],['[Cells'] c/ml]]*Table1[[#This Row],[Neutro%]]</f>
        <v>816783.21678321681</v>
      </c>
      <c r="AV15" s="5">
        <v>4</v>
      </c>
      <c r="AW15" s="4">
        <f>Table1[[#This Row],[Monocyte_count]]/Table1[[#This Row],[total count]]</f>
        <v>1.8648018648018648E-3</v>
      </c>
      <c r="AX15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5.9701492537313432E-2</v>
      </c>
      <c r="AY15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6.1538461538461542E-2</v>
      </c>
      <c r="AZ15" s="2">
        <f>Table1[[#This Row],['[Cells'] c/ml]]*Table1[[#This Row],[Monocyte%]]</f>
        <v>1633566.4335664336</v>
      </c>
      <c r="BA15" s="1">
        <v>1</v>
      </c>
      <c r="BB15" s="4">
        <f>Table1[[#This Row],[Basophil_count]]/Table1[[#This Row],[total count]]</f>
        <v>4.662004662004662E-4</v>
      </c>
      <c r="BC15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1.5384615384615385E-2</v>
      </c>
      <c r="BD15" s="4"/>
      <c r="BE15" s="2">
        <f>Table1[[#This Row],['[Cells'] c/ml]]*Table1[[#This Row],[Basophil%]]</f>
        <v>408391.6083916084</v>
      </c>
      <c r="BF15" s="1">
        <v>0</v>
      </c>
      <c r="BG15" s="4">
        <f>Table1[[#This Row],[immature_count]]/Table1[[#This Row],[total count]]</f>
        <v>0</v>
      </c>
      <c r="BH15" s="2">
        <f>Table1[[#This Row],['[Cells'] c/ml]]*Table1[[#This Row],[immature%]]</f>
        <v>0</v>
      </c>
      <c r="BI15" s="1">
        <v>0</v>
      </c>
      <c r="BJ15" s="4">
        <f>Table1[[#This Row],[mitosis_count]]/Table1[[#This Row],[total count]]</f>
        <v>0</v>
      </c>
      <c r="BK15" s="2">
        <f>Table1[[#This Row],['[Cells'] c/ml]]*Table1[[#This Row],[mitosis%]]</f>
        <v>0</v>
      </c>
      <c r="BL15" s="1">
        <v>0</v>
      </c>
      <c r="BM15" s="4">
        <f>Table1[[#This Row],[Abnormal_count]]/Table1[[#This Row],[total count]]</f>
        <v>0</v>
      </c>
      <c r="BN15" s="2">
        <f>Table1[[#This Row],['[Cells'] c/ml]]*Table1[[#This Row],[abnormal%]]</f>
        <v>0</v>
      </c>
    </row>
    <row r="16" spans="1:66" x14ac:dyDescent="0.25">
      <c r="A16" s="1" t="s">
        <v>104</v>
      </c>
      <c r="B16" s="1" t="s">
        <v>31</v>
      </c>
      <c r="C16" s="1" t="s">
        <v>10</v>
      </c>
      <c r="D16" s="1" t="s">
        <v>30</v>
      </c>
      <c r="E16" s="1">
        <v>4</v>
      </c>
      <c r="F16" s="3" t="s">
        <v>20</v>
      </c>
      <c r="G16" s="1">
        <v>0</v>
      </c>
      <c r="H16" s="2">
        <v>672000000</v>
      </c>
      <c r="I16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2153</v>
      </c>
      <c r="J16" s="1">
        <v>2061</v>
      </c>
      <c r="K16" s="4">
        <f t="shared" si="1"/>
        <v>0.95771375464684017</v>
      </c>
      <c r="L16" s="2">
        <f>Table1[[#This Row],['[Cells'] c/ml]]*Table1[[#This Row],[Rbc%]]</f>
        <v>643583643.12267661</v>
      </c>
      <c r="M16" s="4">
        <f>SUM(Table1[[#This Row],[Lymoph%]],Table1[[#This Row],[FE%]],Table1[[#This Row],[GT%]],Table1[[#This Row],[CE%]],Table1[[#This Row],[Neutro%]],Table1[[#This Row],[Basophil%]])</f>
        <v>2.8332559219693451E-2</v>
      </c>
      <c r="N16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29.032258064516128</v>
      </c>
      <c r="O16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29.032258064516128</v>
      </c>
      <c r="P16" s="2">
        <f>Table1[[#This Row],['[Cells'] c/ml]]*Table1[[#This Row],[granulocyte%]]</f>
        <v>19039479.795633998</v>
      </c>
      <c r="Q16" s="4">
        <f>SUM(Table1[[#This Row],[Lymoph%]],Table1[[#This Row],[GT%]],Table1[[#This Row],[FE%]],Table1[[#This Row],[CE%]],Table1[[#This Row],[Neutro%]],Table1[[#This Row],[Basophil%]],Table1[[#This Row],[Monocyte%]])</f>
        <v>2.8797027403622853E-2</v>
      </c>
      <c r="R16" s="2">
        <f>Table1[[#This Row],['[Cells'] c/ml]]*Table1[[#This Row],[wbc%]]</f>
        <v>19351602.415234558</v>
      </c>
      <c r="S16" s="7">
        <f>Table1[[#This Row],['[wbc']]]/Table1[[#This Row],['[Granulocyte']]]</f>
        <v>1.0163934426229511</v>
      </c>
      <c r="T16" s="7">
        <f>Table1[[#This Row],['[Rbc']]]/Table1[[#This Row],['[wbc']]]</f>
        <v>33.257382479913659</v>
      </c>
      <c r="U16" s="1">
        <v>29</v>
      </c>
      <c r="V16" s="4">
        <f>Table1[[#This Row],[Lympho_count]]/Table1[[#This Row],[total count]]</f>
        <v>1.3469577333952624E-2</v>
      </c>
      <c r="W16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0.46774193548387094</v>
      </c>
      <c r="X16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0.46774193548387094</v>
      </c>
      <c r="Y16" s="2">
        <f>Table1[[#This Row],['[Cells'] c/ml]]*Table1[[#This Row],[Lymoph%]]</f>
        <v>9051555.9684161637</v>
      </c>
      <c r="Z16" s="1">
        <v>30</v>
      </c>
      <c r="AA16" s="4">
        <f>Table1[[#This Row],[Thrombo_count]]/Table1[[#This Row],[total count]]</f>
        <v>1.3934045517882025E-2</v>
      </c>
      <c r="AB16" s="2">
        <f>Table1[[#This Row],['[Cells'] c/ml]]*Table1[[#This Row],[Thrombo%]]</f>
        <v>9363678.5880167205</v>
      </c>
      <c r="AC16" s="1">
        <v>0</v>
      </c>
      <c r="AD16" s="4">
        <f>Table1[[#This Row],[GT_count]]/Table1[[#This Row],[total count]]</f>
        <v>0</v>
      </c>
      <c r="AE16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0</v>
      </c>
      <c r="AF16" s="2">
        <f>Table1[[#This Row],['[Cells'] c/ml]]*Table1[[#This Row],[GT%]]</f>
        <v>0</v>
      </c>
      <c r="AG16" s="1">
        <v>16</v>
      </c>
      <c r="AH16" s="4">
        <f>Table1[[#This Row],[FE_count]]/Table1[[#This Row],[total count]]</f>
        <v>7.4314909428704135E-3</v>
      </c>
      <c r="AI16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0.25806451612903225</v>
      </c>
      <c r="AJ16" s="4">
        <f>Table1[[#This Row],[FE_count]]/(Table1[[#This Row],[Lympho_count]]+Table1[[#This Row],[FE_count]]+Table1[[#This Row],[CE_count]]+Table1[[#This Row],[Neutro_count]]+Table1[[#This Row],[Monocyte_count]]+Table1[[#This Row],[Basophil_count]])</f>
        <v>0.25806451612903225</v>
      </c>
      <c r="AK16" s="2">
        <f>Table1[[#This Row],['[Cells'] c/ml]]*Table1[[#This Row],[FE%]]</f>
        <v>4993961.913608918</v>
      </c>
      <c r="AL16" s="1">
        <v>13</v>
      </c>
      <c r="AM16" s="4">
        <f>Table1[[#This Row],[CE_count]]/Table1[[#This Row],[total count]]</f>
        <v>6.0380863910822107E-3</v>
      </c>
      <c r="AN16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0.20967741935483872</v>
      </c>
      <c r="AO16" s="4">
        <f>Table1[[#This Row],[CE_count]]/(Table1[[#This Row],[Lympho_count]]+Table1[[#This Row],[FE_count]]+Table1[[#This Row],[CE_count]]+Table1[[#This Row],[Neutro_count]]+Table1[[#This Row],[Monocyte_count]]+Table1[[#This Row],[Basophil_count]])</f>
        <v>0.20967741935483872</v>
      </c>
      <c r="AP16" s="2">
        <f>Table1[[#This Row],['[Cells'] c/ml]]*Table1[[#This Row],[CE%]]</f>
        <v>4057594.0548072457</v>
      </c>
      <c r="AQ16" s="1">
        <v>2</v>
      </c>
      <c r="AR16" s="4">
        <f>Table1[[#This Row],[Neutro_count]]/Table1[[#This Row],[total count]]</f>
        <v>9.2893636785880169E-4</v>
      </c>
      <c r="AS16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3.2258064516129031E-2</v>
      </c>
      <c r="AT16" s="4">
        <f>Table1[[#This Row],[Neutro_count]]/(Table1[[#This Row],[Lympho_count]]+Table1[[#This Row],[FE_count]]+Table1[[#This Row],[CE_count]]+Table1[[#This Row],[Neutro_count]]+Table1[[#This Row],[Monocyte_count]]+Table1[[#This Row],[Basophil_count]])</f>
        <v>3.2258064516129031E-2</v>
      </c>
      <c r="AU16" s="2">
        <f>Table1[[#This Row],['[Cells'] c/ml]]*Table1[[#This Row],[Neutro%]]</f>
        <v>624245.23920111475</v>
      </c>
      <c r="AV16" s="5">
        <v>1</v>
      </c>
      <c r="AW16" s="4">
        <f>Table1[[#This Row],[Monocyte_count]]/Table1[[#This Row],[total count]]</f>
        <v>4.6446818392940084E-4</v>
      </c>
      <c r="AX16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1.6129032258064516E-2</v>
      </c>
      <c r="AY16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1.6129032258064516E-2</v>
      </c>
      <c r="AZ16" s="2">
        <f>Table1[[#This Row],['[Cells'] c/ml]]*Table1[[#This Row],[Monocyte%]]</f>
        <v>312122.61960055737</v>
      </c>
      <c r="BA16" s="1">
        <v>1</v>
      </c>
      <c r="BB16" s="4">
        <f>Table1[[#This Row],[Basophil_count]]/Table1[[#This Row],[total count]]</f>
        <v>4.6446818392940084E-4</v>
      </c>
      <c r="BC16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1.6129032258064516E-2</v>
      </c>
      <c r="BD16" s="4"/>
      <c r="BE16" s="2">
        <f>Table1[[#This Row],['[Cells'] c/ml]]*Table1[[#This Row],[Basophil%]]</f>
        <v>312122.61960055737</v>
      </c>
      <c r="BF16" s="1">
        <v>0</v>
      </c>
      <c r="BG16" s="4">
        <f>Table1[[#This Row],[immature_count]]/Table1[[#This Row],[total count]]</f>
        <v>0</v>
      </c>
      <c r="BH16" s="2">
        <f>Table1[[#This Row],['[Cells'] c/ml]]*Table1[[#This Row],[immature%]]</f>
        <v>0</v>
      </c>
      <c r="BI16" s="1">
        <v>0</v>
      </c>
      <c r="BJ16" s="4">
        <f>Table1[[#This Row],[mitosis_count]]/Table1[[#This Row],[total count]]</f>
        <v>0</v>
      </c>
      <c r="BK16" s="2">
        <f>Table1[[#This Row],['[Cells'] c/ml]]*Table1[[#This Row],[mitosis%]]</f>
        <v>0</v>
      </c>
      <c r="BL16" s="1">
        <v>0</v>
      </c>
      <c r="BM16" s="4">
        <f>Table1[[#This Row],[Abnormal_count]]/Table1[[#This Row],[total count]]</f>
        <v>0</v>
      </c>
      <c r="BN16" s="2">
        <f>Table1[[#This Row],['[Cells'] c/ml]]*Table1[[#This Row],[abnormal%]]</f>
        <v>0</v>
      </c>
    </row>
    <row r="17" spans="1:66" x14ac:dyDescent="0.25">
      <c r="A17" s="1" t="s">
        <v>104</v>
      </c>
      <c r="B17" s="1" t="s">
        <v>32</v>
      </c>
      <c r="C17" s="1" t="s">
        <v>33</v>
      </c>
      <c r="D17" s="1" t="s">
        <v>30</v>
      </c>
      <c r="E17" s="1">
        <v>4</v>
      </c>
      <c r="F17" s="3" t="s">
        <v>16</v>
      </c>
      <c r="G17" s="1" t="s">
        <v>16</v>
      </c>
      <c r="H17" s="2">
        <v>686400000</v>
      </c>
      <c r="I17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2122</v>
      </c>
      <c r="J17" s="1">
        <v>2038</v>
      </c>
      <c r="K17" s="4">
        <f t="shared" si="1"/>
        <v>0.96132075471698109</v>
      </c>
      <c r="L17" s="2">
        <f>Table1[[#This Row],['[Cells'] c/ml]]*Table1[[#This Row],[Rbc%]]</f>
        <v>659850566.03773582</v>
      </c>
      <c r="M17" s="4">
        <f>SUM(Table1[[#This Row],[Lymoph%]],Table1[[#This Row],[FE%]],Table1[[#This Row],[GT%]],Table1[[#This Row],[CE%]],Table1[[#This Row],[Neutro%]],Table1[[#This Row],[Basophil%]])</f>
        <v>2.9688972667295005E-2</v>
      </c>
      <c r="N17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31.015384615384615</v>
      </c>
      <c r="O17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28.016129032258064</v>
      </c>
      <c r="P17" s="2">
        <f>Table1[[#This Row],['[Cells'] c/ml]]*Table1[[#This Row],[granulocyte%]]</f>
        <v>20378510.838831291</v>
      </c>
      <c r="Q17" s="4">
        <f>SUM(Table1[[#This Row],[Lymoph%]],Table1[[#This Row],[GT%]],Table1[[#This Row],[FE%]],Table1[[#This Row],[CE%]],Table1[[#This Row],[Neutro%]],Table1[[#This Row],[Basophil%]],Table1[[#This Row],[Monocyte%]])</f>
        <v>3.0631479736098022E-2</v>
      </c>
      <c r="R17" s="2">
        <f>Table1[[#This Row],['[Cells'] c/ml]]*Table1[[#This Row],[wbc%]]</f>
        <v>21025447.690857682</v>
      </c>
      <c r="S17" s="7">
        <f>Table1[[#This Row],['[wbc']]]/Table1[[#This Row],['[Granulocyte']]]</f>
        <v>1.0317460317460319</v>
      </c>
      <c r="T17" s="7">
        <f>Table1[[#This Row],['[Rbc']]]/Table1[[#This Row],['[wbc']]]</f>
        <v>31.383425253991287</v>
      </c>
      <c r="U17" s="1">
        <v>30</v>
      </c>
      <c r="V17" s="4">
        <f>Table1[[#This Row],[Lympho_count]]/Table1[[#This Row],[total count]]</f>
        <v>1.413760603204524E-2</v>
      </c>
      <c r="W17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0.46153846153846156</v>
      </c>
      <c r="X17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0.4838709677419355</v>
      </c>
      <c r="Y17" s="2">
        <f>Table1[[#This Row],['[Cells'] c/ml]]*Table1[[#This Row],[Lymoph%]]</f>
        <v>9704052.7803958524</v>
      </c>
      <c r="Z17" s="1">
        <v>19</v>
      </c>
      <c r="AA17" s="4">
        <f>Table1[[#This Row],[Thrombo_count]]/Table1[[#This Row],[total count]]</f>
        <v>8.9538171536286525E-3</v>
      </c>
      <c r="AB17" s="2">
        <f>Table1[[#This Row],['[Cells'] c/ml]]*Table1[[#This Row],[Thrombo%]]</f>
        <v>6145900.094250707</v>
      </c>
      <c r="AC17" s="1">
        <v>3</v>
      </c>
      <c r="AD17" s="4">
        <f>Table1[[#This Row],[GT_count]]/Table1[[#This Row],[total count]]</f>
        <v>1.4137606032045241E-3</v>
      </c>
      <c r="AE17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4.6153846153846156E-2</v>
      </c>
      <c r="AF17" s="2">
        <f>Table1[[#This Row],['[Cells'] c/ml]]*Table1[[#This Row],[GT%]]</f>
        <v>970405.27803958533</v>
      </c>
      <c r="AG17" s="1">
        <v>15</v>
      </c>
      <c r="AH17" s="4">
        <f>Table1[[#This Row],[FE_count]]/Table1[[#This Row],[total count]]</f>
        <v>7.0688030160226201E-3</v>
      </c>
      <c r="AI17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0.23076923076923078</v>
      </c>
      <c r="AJ17" s="4">
        <f>Table1[[#This Row],[FE_count]]/(Table1[[#This Row],[Lympho_count]]+Table1[[#This Row],[FE_count]]+Table1[[#This Row],[CE_count]]+Table1[[#This Row],[Neutro_count]]+Table1[[#This Row],[Monocyte_count]]+Table1[[#This Row],[Basophil_count]])</f>
        <v>0.24193548387096775</v>
      </c>
      <c r="AK17" s="2">
        <f>Table1[[#This Row],['[Cells'] c/ml]]*Table1[[#This Row],[FE%]]</f>
        <v>4852026.3901979262</v>
      </c>
      <c r="AL17" s="1">
        <v>13</v>
      </c>
      <c r="AM17" s="4">
        <f>Table1[[#This Row],[CE_count]]/Table1[[#This Row],[total count]]</f>
        <v>6.1262959472196043E-3</v>
      </c>
      <c r="AN17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0.2</v>
      </c>
      <c r="AO17" s="4">
        <f>Table1[[#This Row],[CE_count]]/(Table1[[#This Row],[Lympho_count]]+Table1[[#This Row],[FE_count]]+Table1[[#This Row],[CE_count]]+Table1[[#This Row],[Neutro_count]]+Table1[[#This Row],[Monocyte_count]]+Table1[[#This Row],[Basophil_count]])</f>
        <v>0.20967741935483872</v>
      </c>
      <c r="AP17" s="2">
        <f>Table1[[#This Row],['[Cells'] c/ml]]*Table1[[#This Row],[CE%]]</f>
        <v>4205089.5381715363</v>
      </c>
      <c r="AQ17" s="1">
        <v>1</v>
      </c>
      <c r="AR17" s="4">
        <f>Table1[[#This Row],[Neutro_count]]/Table1[[#This Row],[total count]]</f>
        <v>4.71253534401508E-4</v>
      </c>
      <c r="AS17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1.5384615384615385E-2</v>
      </c>
      <c r="AT17" s="4">
        <f>Table1[[#This Row],[Neutro_count]]/(Table1[[#This Row],[Lympho_count]]+Table1[[#This Row],[FE_count]]+Table1[[#This Row],[CE_count]]+Table1[[#This Row],[Neutro_count]]+Table1[[#This Row],[Monocyte_count]]+Table1[[#This Row],[Basophil_count]])</f>
        <v>1.6129032258064516E-2</v>
      </c>
      <c r="AU17" s="2">
        <f>Table1[[#This Row],['[Cells'] c/ml]]*Table1[[#This Row],[Neutro%]]</f>
        <v>323468.42601319507</v>
      </c>
      <c r="AV17" s="5">
        <v>2</v>
      </c>
      <c r="AW17" s="4">
        <f>Table1[[#This Row],[Monocyte_count]]/Table1[[#This Row],[total count]]</f>
        <v>9.42507068803016E-4</v>
      </c>
      <c r="AX17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3.0769230769230771E-2</v>
      </c>
      <c r="AY17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3.2258064516129031E-2</v>
      </c>
      <c r="AZ17" s="2">
        <f>Table1[[#This Row],['[Cells'] c/ml]]*Table1[[#This Row],[Monocyte%]]</f>
        <v>646936.85202639014</v>
      </c>
      <c r="BA17" s="1">
        <v>1</v>
      </c>
      <c r="BB17" s="4">
        <f>Table1[[#This Row],[Basophil_count]]/Table1[[#This Row],[total count]]</f>
        <v>4.71253534401508E-4</v>
      </c>
      <c r="BC17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1.6129032258064516E-2</v>
      </c>
      <c r="BD17" s="4"/>
      <c r="BE17" s="2">
        <f>Table1[[#This Row],['[Cells'] c/ml]]*Table1[[#This Row],[Basophil%]]</f>
        <v>323468.42601319507</v>
      </c>
      <c r="BF17" s="1">
        <v>0</v>
      </c>
      <c r="BG17" s="4">
        <f>Table1[[#This Row],[immature_count]]/Table1[[#This Row],[total count]]</f>
        <v>0</v>
      </c>
      <c r="BH17" s="2">
        <f>Table1[[#This Row],['[Cells'] c/ml]]*Table1[[#This Row],[immature%]]</f>
        <v>0</v>
      </c>
      <c r="BI17" s="1">
        <v>0</v>
      </c>
      <c r="BJ17" s="4">
        <f>Table1[[#This Row],[mitosis_count]]/Table1[[#This Row],[total count]]</f>
        <v>0</v>
      </c>
      <c r="BK17" s="2">
        <f>Table1[[#This Row],['[Cells'] c/ml]]*Table1[[#This Row],[mitosis%]]</f>
        <v>0</v>
      </c>
      <c r="BL17" s="1">
        <v>0</v>
      </c>
      <c r="BM17" s="4">
        <f>Table1[[#This Row],[Abnormal_count]]/Table1[[#This Row],[total count]]</f>
        <v>0</v>
      </c>
      <c r="BN17" s="2">
        <f>Table1[[#This Row],['[Cells'] c/ml]]*Table1[[#This Row],[abnormal%]]</f>
        <v>0</v>
      </c>
    </row>
    <row r="18" spans="1:66" x14ac:dyDescent="0.25">
      <c r="A18" s="1" t="s">
        <v>104</v>
      </c>
      <c r="B18" s="1" t="s">
        <v>34</v>
      </c>
      <c r="C18" s="1" t="s">
        <v>15</v>
      </c>
      <c r="D18" s="1" t="s">
        <v>30</v>
      </c>
      <c r="E18" s="1">
        <v>4</v>
      </c>
      <c r="F18" s="3" t="s">
        <v>16</v>
      </c>
      <c r="G18" s="1" t="s">
        <v>16</v>
      </c>
      <c r="H18" s="2">
        <v>612000000</v>
      </c>
      <c r="I18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2108</v>
      </c>
      <c r="J18" s="1">
        <v>2007</v>
      </c>
      <c r="K18" s="4">
        <f t="shared" si="1"/>
        <v>0.95253915519696253</v>
      </c>
      <c r="L18" s="2">
        <f>Table1[[#This Row],['[Cells'] c/ml]]*Table1[[#This Row],[Rbc%]]</f>
        <v>582953962.98054111</v>
      </c>
      <c r="M18" s="4">
        <f>SUM(Table1[[#This Row],[Lymoph%]],Table1[[#This Row],[FE%]],Table1[[#This Row],[GT%]],Table1[[#This Row],[CE%]],Table1[[#This Row],[Neutro%]],Table1[[#This Row],[Basophil%]])</f>
        <v>2.9886148007590128E-2</v>
      </c>
      <c r="N18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19.015625</v>
      </c>
      <c r="O18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15.016666666666667</v>
      </c>
      <c r="P18" s="2">
        <f>Table1[[#This Row],['[Cells'] c/ml]]*Table1[[#This Row],[granulocyte%]]</f>
        <v>18290322.580645159</v>
      </c>
      <c r="Q18" s="4">
        <f>SUM(Table1[[#This Row],[Lymoph%]],Table1[[#This Row],[GT%]],Table1[[#This Row],[FE%]],Table1[[#This Row],[CE%]],Table1[[#This Row],[Neutro%]],Table1[[#This Row],[Basophil%]],Table1[[#This Row],[Monocyte%]])</f>
        <v>3.0360531309297906E-2</v>
      </c>
      <c r="R18" s="2">
        <f>Table1[[#This Row],['[Cells'] c/ml]]*Table1[[#This Row],[wbc%]]</f>
        <v>18580645.161290318</v>
      </c>
      <c r="S18" s="7">
        <f>Table1[[#This Row],['[wbc']]]/Table1[[#This Row],['[Granulocyte']]]</f>
        <v>1.0158730158730158</v>
      </c>
      <c r="T18" s="7">
        <f>Table1[[#This Row],['[Rbc']]]/Table1[[#This Row],['[wbc']]]</f>
        <v>31.374258424299963</v>
      </c>
      <c r="U18" s="1">
        <v>43</v>
      </c>
      <c r="V18" s="4">
        <f>Table1[[#This Row],[Lympho_count]]/Table1[[#This Row],[total count]]</f>
        <v>2.0398481973434534E-2</v>
      </c>
      <c r="W18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0.671875</v>
      </c>
      <c r="X18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0.71666666666666667</v>
      </c>
      <c r="Y18" s="2">
        <f>Table1[[#This Row],['[Cells'] c/ml]]*Table1[[#This Row],[Lymoph%]]</f>
        <v>12483870.967741935</v>
      </c>
      <c r="Z18" s="1">
        <v>37</v>
      </c>
      <c r="AA18" s="4">
        <f>Table1[[#This Row],[Thrombo_count]]/Table1[[#This Row],[total count]]</f>
        <v>1.7552182163187855E-2</v>
      </c>
      <c r="AB18" s="2">
        <f>Table1[[#This Row],['[Cells'] c/ml]]*Table1[[#This Row],[Thrombo%]]</f>
        <v>10741935.483870968</v>
      </c>
      <c r="AC18" s="1">
        <v>4</v>
      </c>
      <c r="AD18" s="4">
        <f>Table1[[#This Row],[GT_count]]/Table1[[#This Row],[total count]]</f>
        <v>1.8975332068311196E-3</v>
      </c>
      <c r="AE18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6.25E-2</v>
      </c>
      <c r="AF18" s="2">
        <f>Table1[[#This Row],['[Cells'] c/ml]]*Table1[[#This Row],[GT%]]</f>
        <v>1161290.3225806451</v>
      </c>
      <c r="AG18" s="1">
        <v>11</v>
      </c>
      <c r="AH18" s="4">
        <f>Table1[[#This Row],[FE_count]]/Table1[[#This Row],[total count]]</f>
        <v>5.218216318785579E-3</v>
      </c>
      <c r="AI18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0.171875</v>
      </c>
      <c r="AJ18" s="4">
        <f>Table1[[#This Row],[FE_count]]/(Table1[[#This Row],[Lympho_count]]+Table1[[#This Row],[FE_count]]+Table1[[#This Row],[CE_count]]+Table1[[#This Row],[Neutro_count]]+Table1[[#This Row],[Monocyte_count]]+Table1[[#This Row],[Basophil_count]])</f>
        <v>0.18333333333333332</v>
      </c>
      <c r="AK18" s="2">
        <f>Table1[[#This Row],['[Cells'] c/ml]]*Table1[[#This Row],[FE%]]</f>
        <v>3193548.3870967743</v>
      </c>
      <c r="AL18" s="1">
        <v>4</v>
      </c>
      <c r="AM18" s="4">
        <f>Table1[[#This Row],[CE_count]]/Table1[[#This Row],[total count]]</f>
        <v>1.8975332068311196E-3</v>
      </c>
      <c r="AN18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6.25E-2</v>
      </c>
      <c r="AO18" s="4">
        <f>Table1[[#This Row],[CE_count]]/(Table1[[#This Row],[Lympho_count]]+Table1[[#This Row],[FE_count]]+Table1[[#This Row],[CE_count]]+Table1[[#This Row],[Neutro_count]]+Table1[[#This Row],[Monocyte_count]]+Table1[[#This Row],[Basophil_count]])</f>
        <v>6.6666666666666666E-2</v>
      </c>
      <c r="AP18" s="2">
        <f>Table1[[#This Row],['[Cells'] c/ml]]*Table1[[#This Row],[CE%]]</f>
        <v>1161290.3225806451</v>
      </c>
      <c r="AQ18" s="1">
        <v>1</v>
      </c>
      <c r="AR18" s="4">
        <f>Table1[[#This Row],[Neutro_count]]/Table1[[#This Row],[total count]]</f>
        <v>4.743833017077799E-4</v>
      </c>
      <c r="AS18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1.5625E-2</v>
      </c>
      <c r="AT18" s="4">
        <f>Table1[[#This Row],[Neutro_count]]/(Table1[[#This Row],[Lympho_count]]+Table1[[#This Row],[FE_count]]+Table1[[#This Row],[CE_count]]+Table1[[#This Row],[Neutro_count]]+Table1[[#This Row],[Monocyte_count]]+Table1[[#This Row],[Basophil_count]])</f>
        <v>1.6666666666666666E-2</v>
      </c>
      <c r="AU18" s="2">
        <f>Table1[[#This Row],['[Cells'] c/ml]]*Table1[[#This Row],[Neutro%]]</f>
        <v>290322.58064516127</v>
      </c>
      <c r="AV18" s="5">
        <v>1</v>
      </c>
      <c r="AW18" s="4">
        <f>Table1[[#This Row],[Monocyte_count]]/Table1[[#This Row],[total count]]</f>
        <v>4.743833017077799E-4</v>
      </c>
      <c r="AX18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1.5625E-2</v>
      </c>
      <c r="AY18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1.6666666666666666E-2</v>
      </c>
      <c r="AZ18" s="2">
        <f>Table1[[#This Row],['[Cells'] c/ml]]*Table1[[#This Row],[Monocyte%]]</f>
        <v>290322.58064516127</v>
      </c>
      <c r="BA18" s="1">
        <v>0</v>
      </c>
      <c r="BB18" s="4">
        <f>Table1[[#This Row],[Basophil_count]]/Table1[[#This Row],[total count]]</f>
        <v>0</v>
      </c>
      <c r="BC18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D18" s="4"/>
      <c r="BE18" s="2">
        <f>Table1[[#This Row],['[Cells'] c/ml]]*Table1[[#This Row],[Basophil%]]</f>
        <v>0</v>
      </c>
      <c r="BF18" s="1">
        <v>0</v>
      </c>
      <c r="BG18" s="4">
        <f>Table1[[#This Row],[immature_count]]/Table1[[#This Row],[total count]]</f>
        <v>0</v>
      </c>
      <c r="BH18" s="2">
        <f>Table1[[#This Row],['[Cells'] c/ml]]*Table1[[#This Row],[immature%]]</f>
        <v>0</v>
      </c>
      <c r="BI18" s="1">
        <v>0</v>
      </c>
      <c r="BJ18" s="4">
        <f>Table1[[#This Row],[mitosis_count]]/Table1[[#This Row],[total count]]</f>
        <v>0</v>
      </c>
      <c r="BK18" s="2">
        <f>Table1[[#This Row],['[Cells'] c/ml]]*Table1[[#This Row],[mitosis%]]</f>
        <v>0</v>
      </c>
      <c r="BL18" s="1">
        <v>0</v>
      </c>
      <c r="BM18" s="4">
        <f>Table1[[#This Row],[Abnormal_count]]/Table1[[#This Row],[total count]]</f>
        <v>0</v>
      </c>
      <c r="BN18" s="2">
        <f>Table1[[#This Row],['[Cells'] c/ml]]*Table1[[#This Row],[abnormal%]]</f>
        <v>0</v>
      </c>
    </row>
    <row r="19" spans="1:66" x14ac:dyDescent="0.25">
      <c r="H19" s="2"/>
      <c r="K19" s="4"/>
      <c r="L19" s="2"/>
      <c r="M19" s="4"/>
      <c r="O19" s="7"/>
      <c r="P19" s="2"/>
      <c r="R19" s="2"/>
      <c r="V19" s="4"/>
      <c r="W19" s="4"/>
      <c r="X19" s="4"/>
      <c r="Y19" s="2"/>
      <c r="AA19" s="4"/>
      <c r="AB19" s="2"/>
      <c r="AD19" s="4"/>
      <c r="AE19" s="4"/>
      <c r="AF19" s="2"/>
      <c r="AH19" s="4"/>
      <c r="AI19" s="4"/>
      <c r="AJ19" s="4"/>
      <c r="AK19" s="2"/>
      <c r="AM19" s="4"/>
      <c r="AN19" s="4"/>
      <c r="AO19" s="4"/>
      <c r="AP19" s="2"/>
      <c r="AR19" s="4"/>
      <c r="AS19" s="4"/>
      <c r="AT19" s="4"/>
      <c r="AU19" s="2"/>
      <c r="AV19" s="5"/>
      <c r="AW19" s="4"/>
      <c r="AX19" s="4"/>
      <c r="AY19" s="4"/>
      <c r="AZ19" s="2"/>
      <c r="BA19" s="1"/>
      <c r="BB19" s="4"/>
      <c r="BC19" s="4"/>
      <c r="BD19" s="4"/>
      <c r="BE19" s="2"/>
      <c r="BF19" s="1"/>
      <c r="BG19" s="4"/>
      <c r="BH19" s="2"/>
      <c r="BI19" s="1"/>
      <c r="BJ19" s="4"/>
      <c r="BK19" s="2"/>
      <c r="BM19" s="4"/>
      <c r="BN19" s="2"/>
    </row>
    <row r="20" spans="1:66" x14ac:dyDescent="0.25">
      <c r="A20" s="1" t="s">
        <v>35</v>
      </c>
      <c r="B20" s="1" t="s">
        <v>36</v>
      </c>
      <c r="C20" s="1" t="s">
        <v>10</v>
      </c>
      <c r="D20" s="1" t="s">
        <v>37</v>
      </c>
      <c r="E20" s="1">
        <v>4</v>
      </c>
      <c r="F20" s="3" t="s">
        <v>20</v>
      </c>
      <c r="G20" s="1">
        <v>0</v>
      </c>
      <c r="H20" s="2">
        <v>864000000</v>
      </c>
      <c r="I20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2282</v>
      </c>
      <c r="J20" s="1">
        <v>2062</v>
      </c>
      <c r="K20" s="4">
        <f>J20/SUM(J20+U20,Z20,AC20,AG20,AL20,AQ20,BA20,BF20,BI20)</f>
        <v>0.9051799824407375</v>
      </c>
      <c r="L20" s="2">
        <f>Table1[[#This Row],['[Cells'] c/ml]]*Table1[[#This Row],[Rbc%]]</f>
        <v>782075504.82879722</v>
      </c>
      <c r="M20" s="4">
        <f>SUM(Table1[[#This Row],[Lymoph%]],Table1[[#This Row],[FE%]],Table1[[#This Row],[GT%]],Table1[[#This Row],[CE%]],Table1[[#This Row],[Neutro%]],Table1[[#This Row],[Basophil%]])</f>
        <v>2.3225241016652062E-2</v>
      </c>
      <c r="N20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29.018518518518519</v>
      </c>
      <c r="O20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14.025641025641026</v>
      </c>
      <c r="P20" s="2">
        <f>Table1[[#This Row],['[Cells'] c/ml]]*Table1[[#This Row],[granulocyte%]]</f>
        <v>20066608.238387384</v>
      </c>
      <c r="Q20" s="4">
        <f>SUM(Table1[[#This Row],[Lymoph%]],Table1[[#This Row],[GT%]],Table1[[#This Row],[FE%]],Table1[[#This Row],[CE%]],Table1[[#This Row],[Neutro%]],Table1[[#This Row],[Basophil%]],Table1[[#This Row],[Monocyte%]])</f>
        <v>2.3663453111305875E-2</v>
      </c>
      <c r="R20" s="2">
        <f>Table1[[#This Row],['[Cells'] c/ml]]*Table1[[#This Row],[wbc%]]</f>
        <v>20445223.488168277</v>
      </c>
      <c r="S20" s="7">
        <f>Table1[[#This Row],['[wbc']]]/Table1[[#This Row],['[Granulocyte']]]</f>
        <v>1.0188679245283019</v>
      </c>
      <c r="T20" s="7">
        <f>Table1[[#This Row],['[Rbc']]]/Table1[[#This Row],['[wbc']]]</f>
        <v>38.252235554254867</v>
      </c>
      <c r="U20" s="1">
        <v>22</v>
      </c>
      <c r="V20" s="4">
        <f>Table1[[#This Row],[Lympho_count]]/Table1[[#This Row],[total count]]</f>
        <v>9.6406660823838732E-3</v>
      </c>
      <c r="W20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0.40740740740740738</v>
      </c>
      <c r="X20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0.5641025641025641</v>
      </c>
      <c r="Y20" s="2">
        <f>Table1[[#This Row],['[Cells'] c/ml]]*Table1[[#This Row],[Lymoph%]]</f>
        <v>8329535.4951796662</v>
      </c>
      <c r="Z20" s="1">
        <v>73</v>
      </c>
      <c r="AA20" s="4">
        <f>Table1[[#This Row],[Thrombo_count]]/Table1[[#This Row],[total count]]</f>
        <v>3.1989482909728306E-2</v>
      </c>
      <c r="AB20" s="2">
        <f>Table1[[#This Row],['[Cells'] c/ml]]*Table1[[#This Row],[Thrombo%]]</f>
        <v>27638913.234005257</v>
      </c>
      <c r="AC20" s="1">
        <v>15</v>
      </c>
      <c r="AD20" s="4">
        <f>Table1[[#This Row],[GT_count]]/Table1[[#This Row],[total count]]</f>
        <v>6.5731814198071864E-3</v>
      </c>
      <c r="AE20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0.27777777777777779</v>
      </c>
      <c r="AF20" s="2">
        <f>Table1[[#This Row],['[Cells'] c/ml]]*Table1[[#This Row],[GT%]]</f>
        <v>5679228.7467134092</v>
      </c>
      <c r="AG20" s="1">
        <v>2</v>
      </c>
      <c r="AH20" s="4">
        <f>Table1[[#This Row],[FE_count]]/Table1[[#This Row],[total count]]</f>
        <v>8.7642418930762491E-4</v>
      </c>
      <c r="AI20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3.7037037037037035E-2</v>
      </c>
      <c r="AJ20" s="4">
        <f>Table1[[#This Row],[FE_count]]/(Table1[[#This Row],[Lympho_count]]+Table1[[#This Row],[FE_count]]+Table1[[#This Row],[CE_count]]+Table1[[#This Row],[Neutro_count]]+Table1[[#This Row],[Monocyte_count]]+Table1[[#This Row],[Basophil_count]])</f>
        <v>5.128205128205128E-2</v>
      </c>
      <c r="AK20" s="2">
        <f>Table1[[#This Row],['[Cells'] c/ml]]*Table1[[#This Row],[FE%]]</f>
        <v>757230.49956178793</v>
      </c>
      <c r="AL20" s="1">
        <v>12</v>
      </c>
      <c r="AM20" s="4">
        <f>Table1[[#This Row],[CE_count]]/Table1[[#This Row],[total count]]</f>
        <v>5.2585451358457495E-3</v>
      </c>
      <c r="AN20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0.22222222222222221</v>
      </c>
      <c r="AO20" s="4">
        <f>Table1[[#This Row],[CE_count]]/(Table1[[#This Row],[Lympho_count]]+Table1[[#This Row],[FE_count]]+Table1[[#This Row],[CE_count]]+Table1[[#This Row],[Neutro_count]]+Table1[[#This Row],[Monocyte_count]]+Table1[[#This Row],[Basophil_count]])</f>
        <v>0.30769230769230771</v>
      </c>
      <c r="AP20" s="2">
        <f>Table1[[#This Row],['[Cells'] c/ml]]*Table1[[#This Row],[CE%]]</f>
        <v>4543382.9973707274</v>
      </c>
      <c r="AQ20" s="1">
        <v>1</v>
      </c>
      <c r="AR20" s="4">
        <f>Table1[[#This Row],[Neutro_count]]/Table1[[#This Row],[total count]]</f>
        <v>4.3821209465381246E-4</v>
      </c>
      <c r="AS20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1.8518518518518517E-2</v>
      </c>
      <c r="AT20" s="4">
        <f>Table1[[#This Row],[Neutro_count]]/(Table1[[#This Row],[Lympho_count]]+Table1[[#This Row],[FE_count]]+Table1[[#This Row],[CE_count]]+Table1[[#This Row],[Neutro_count]]+Table1[[#This Row],[Monocyte_count]]+Table1[[#This Row],[Basophil_count]])</f>
        <v>2.564102564102564E-2</v>
      </c>
      <c r="AU20" s="2">
        <f>Table1[[#This Row],['[Cells'] c/ml]]*Table1[[#This Row],[Neutro%]]</f>
        <v>378615.24978089397</v>
      </c>
      <c r="AV20" s="5">
        <v>1</v>
      </c>
      <c r="AW20" s="4">
        <f>Table1[[#This Row],[Monocyte_count]]/Table1[[#This Row],[total count]]</f>
        <v>4.3821209465381246E-4</v>
      </c>
      <c r="AX20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1.8518518518518517E-2</v>
      </c>
      <c r="AY20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2.564102564102564E-2</v>
      </c>
      <c r="AZ20" s="2">
        <f>Table1[[#This Row],['[Cells'] c/ml]]*Table1[[#This Row],[Monocyte%]]</f>
        <v>378615.24978089397</v>
      </c>
      <c r="BA20" s="1">
        <v>1</v>
      </c>
      <c r="BB20" s="4">
        <f>Table1[[#This Row],[Basophil_count]]/Table1[[#This Row],[total count]]</f>
        <v>4.3821209465381246E-4</v>
      </c>
      <c r="BC20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2.564102564102564E-2</v>
      </c>
      <c r="BD20" s="4"/>
      <c r="BE20" s="2">
        <f>Table1[[#This Row],['[Cells'] c/ml]]*Table1[[#This Row],[Basophil%]]</f>
        <v>378615.24978089397</v>
      </c>
      <c r="BF20" s="1">
        <v>80</v>
      </c>
      <c r="BG20" s="4">
        <f>Table1[[#This Row],[immature_count]]/Table1[[#This Row],[total count]]</f>
        <v>3.5056967572304996E-2</v>
      </c>
      <c r="BH20" s="2">
        <f>Table1[[#This Row],['[Cells'] c/ml]]*Table1[[#This Row],[immature%]]</f>
        <v>30289219.982471518</v>
      </c>
      <c r="BI20" s="1">
        <v>10</v>
      </c>
      <c r="BJ20" s="4">
        <f>Table1[[#This Row],[mitosis_count]]/Table1[[#This Row],[total count]]</f>
        <v>4.3821209465381246E-3</v>
      </c>
      <c r="BK20" s="2">
        <f>Table1[[#This Row],['[Cells'] c/ml]]*Table1[[#This Row],[mitosis%]]</f>
        <v>3786152.4978089398</v>
      </c>
      <c r="BL20" s="1">
        <v>3</v>
      </c>
      <c r="BM20" s="4">
        <f>Table1[[#This Row],[Abnormal_count]]/Table1[[#This Row],[total count]]</f>
        <v>1.3146362839614374E-3</v>
      </c>
      <c r="BN20" s="2">
        <f>Table1[[#This Row],['[Cells'] c/ml]]*Table1[[#This Row],[abnormal%]]</f>
        <v>1135845.7493426818</v>
      </c>
    </row>
    <row r="21" spans="1:66" x14ac:dyDescent="0.25">
      <c r="A21" s="1" t="s">
        <v>35</v>
      </c>
      <c r="B21" s="1" t="s">
        <v>38</v>
      </c>
      <c r="C21" s="1" t="s">
        <v>10</v>
      </c>
      <c r="D21" s="1" t="s">
        <v>37</v>
      </c>
      <c r="E21" s="1">
        <v>4</v>
      </c>
      <c r="F21" s="3" t="s">
        <v>20</v>
      </c>
      <c r="G21" s="1">
        <v>0</v>
      </c>
      <c r="H21" s="2">
        <v>972800000</v>
      </c>
      <c r="I21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2104</v>
      </c>
      <c r="J21" s="1">
        <v>2003</v>
      </c>
      <c r="K21" s="4">
        <f>J21/SUM(J21+U21,Z21,AC21,AG21,AL21,AQ21,BA21,BF21,BI21)</f>
        <v>0.95244888254873994</v>
      </c>
      <c r="L21" s="2">
        <f>Table1[[#This Row],['[Cells'] c/ml]]*Table1[[#This Row],[Rbc%]]</f>
        <v>926542272.94341421</v>
      </c>
      <c r="M21" s="4">
        <f>SUM(Table1[[#This Row],[Lymoph%]],Table1[[#This Row],[FE%]],Table1[[#This Row],[GT%]],Table1[[#This Row],[CE%]],Table1[[#This Row],[Neutro%]],Table1[[#This Row],[Basophil%]])</f>
        <v>2.6615969581749048E-2</v>
      </c>
      <c r="N21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15</v>
      </c>
      <c r="O21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14</v>
      </c>
      <c r="P21" s="2">
        <f>Table1[[#This Row],['[Cells'] c/ml]]*Table1[[#This Row],[granulocyte%]]</f>
        <v>25892015.209125474</v>
      </c>
      <c r="Q21" s="4">
        <f>SUM(Table1[[#This Row],[Lymoph%]],Table1[[#This Row],[GT%]],Table1[[#This Row],[FE%]],Table1[[#This Row],[CE%]],Table1[[#This Row],[Neutro%]],Table1[[#This Row],[Basophil%]],Table1[[#This Row],[Monocyte%]])</f>
        <v>2.709125475285171E-2</v>
      </c>
      <c r="R21" s="2">
        <f>Table1[[#This Row],['[Cells'] c/ml]]*Table1[[#This Row],[wbc%]]</f>
        <v>26354372.623574145</v>
      </c>
      <c r="S21" s="7">
        <f>Table1[[#This Row],['[wbc']]]/Table1[[#This Row],['[Granulocyte']]]</f>
        <v>1.017857142857143</v>
      </c>
      <c r="T21" s="7">
        <f>Table1[[#This Row],['[Rbc']]]/Table1[[#This Row],['[wbc']]]</f>
        <v>35.157060506711382</v>
      </c>
      <c r="U21" s="1">
        <v>41</v>
      </c>
      <c r="V21" s="4">
        <f>Table1[[#This Row],[Lympho_count]]/Table1[[#This Row],[total count]]</f>
        <v>1.9486692015209126E-2</v>
      </c>
      <c r="W21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0.7192982456140351</v>
      </c>
      <c r="X21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0.7321428571428571</v>
      </c>
      <c r="Y21" s="2">
        <f>Table1[[#This Row],['[Cells'] c/ml]]*Table1[[#This Row],[Lymoph%]]</f>
        <v>18956653.992395438</v>
      </c>
      <c r="Z21" s="1">
        <v>40</v>
      </c>
      <c r="AA21" s="4">
        <f>Table1[[#This Row],[Thrombo_count]]/Table1[[#This Row],[total count]]</f>
        <v>1.9011406844106463E-2</v>
      </c>
      <c r="AB21" s="2">
        <f>Table1[[#This Row],['[Cells'] c/ml]]*Table1[[#This Row],[Thrombo%]]</f>
        <v>18494296.577946767</v>
      </c>
      <c r="AC21" s="1">
        <v>1</v>
      </c>
      <c r="AD21" s="4">
        <f>Table1[[#This Row],[GT_count]]/Table1[[#This Row],[total count]]</f>
        <v>4.7528517110266159E-4</v>
      </c>
      <c r="AE21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1.7543859649122806E-2</v>
      </c>
      <c r="AF21" s="2">
        <f>Table1[[#This Row],['[Cells'] c/ml]]*Table1[[#This Row],[GT%]]</f>
        <v>462357.41444866918</v>
      </c>
      <c r="AG21" s="1">
        <v>4</v>
      </c>
      <c r="AH21" s="4">
        <f>Table1[[#This Row],[FE_count]]/Table1[[#This Row],[total count]]</f>
        <v>1.9011406844106464E-3</v>
      </c>
      <c r="AI21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7.0175438596491224E-2</v>
      </c>
      <c r="AJ21" s="4">
        <f>Table1[[#This Row],[FE_count]]/(Table1[[#This Row],[Lympho_count]]+Table1[[#This Row],[FE_count]]+Table1[[#This Row],[CE_count]]+Table1[[#This Row],[Neutro_count]]+Table1[[#This Row],[Monocyte_count]]+Table1[[#This Row],[Basophil_count]])</f>
        <v>7.1428571428571425E-2</v>
      </c>
      <c r="AK21" s="2">
        <f>Table1[[#This Row],['[Cells'] c/ml]]*Table1[[#This Row],[FE%]]</f>
        <v>1849429.6577946767</v>
      </c>
      <c r="AL21" s="1">
        <v>10</v>
      </c>
      <c r="AM21" s="4">
        <f>Table1[[#This Row],[CE_count]]/Table1[[#This Row],[total count]]</f>
        <v>4.7528517110266158E-3</v>
      </c>
      <c r="AN21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0.17543859649122806</v>
      </c>
      <c r="AO21" s="4">
        <f>Table1[[#This Row],[CE_count]]/(Table1[[#This Row],[Lympho_count]]+Table1[[#This Row],[FE_count]]+Table1[[#This Row],[CE_count]]+Table1[[#This Row],[Neutro_count]]+Table1[[#This Row],[Monocyte_count]]+Table1[[#This Row],[Basophil_count]])</f>
        <v>0.17857142857142858</v>
      </c>
      <c r="AP21" s="2">
        <f>Table1[[#This Row],['[Cells'] c/ml]]*Table1[[#This Row],[CE%]]</f>
        <v>4623574.1444866918</v>
      </c>
      <c r="AQ21" s="1">
        <v>0</v>
      </c>
      <c r="AR21" s="4">
        <f>Table1[[#This Row],[Neutro_count]]/Table1[[#This Row],[total count]]</f>
        <v>0</v>
      </c>
      <c r="AS21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0</v>
      </c>
      <c r="AT21" s="4">
        <f>Table1[[#This Row],[Neutro_count]]/(Table1[[#This Row],[Lympho_count]]+Table1[[#This Row],[FE_count]]+Table1[[#This Row],[CE_count]]+Table1[[#This Row],[Neutro_count]]+Table1[[#This Row],[Monocyte_count]]+Table1[[#This Row],[Basophil_count]])</f>
        <v>0</v>
      </c>
      <c r="AU21" s="2">
        <f>Table1[[#This Row],['[Cells'] c/ml]]*Table1[[#This Row],[Neutro%]]</f>
        <v>0</v>
      </c>
      <c r="AV21" s="5">
        <v>1</v>
      </c>
      <c r="AW21" s="4">
        <f>Table1[[#This Row],[Monocyte_count]]/Table1[[#This Row],[total count]]</f>
        <v>4.7528517110266159E-4</v>
      </c>
      <c r="AX21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1.7543859649122806E-2</v>
      </c>
      <c r="AY21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1.7857142857142856E-2</v>
      </c>
      <c r="AZ21" s="2">
        <f>Table1[[#This Row],['[Cells'] c/ml]]*Table1[[#This Row],[Monocyte%]]</f>
        <v>462357.41444866918</v>
      </c>
      <c r="BA21" s="1">
        <v>0</v>
      </c>
      <c r="BB21" s="4">
        <f>Table1[[#This Row],[Basophil_count]]/Table1[[#This Row],[total count]]</f>
        <v>0</v>
      </c>
      <c r="BC21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D21" s="4"/>
      <c r="BE21" s="2">
        <f>Table1[[#This Row],['[Cells'] c/ml]]*Table1[[#This Row],[Basophil%]]</f>
        <v>0</v>
      </c>
      <c r="BF21" s="1">
        <v>4</v>
      </c>
      <c r="BG21" s="4">
        <f>Table1[[#This Row],[immature_count]]/Table1[[#This Row],[total count]]</f>
        <v>1.9011406844106464E-3</v>
      </c>
      <c r="BH21" s="2">
        <f>Table1[[#This Row],['[Cells'] c/ml]]*Table1[[#This Row],[immature%]]</f>
        <v>1849429.6577946767</v>
      </c>
      <c r="BI21" s="1">
        <v>0</v>
      </c>
      <c r="BJ21" s="4">
        <f>Table1[[#This Row],[mitosis_count]]/Table1[[#This Row],[total count]]</f>
        <v>0</v>
      </c>
      <c r="BK21" s="2">
        <f>Table1[[#This Row],['[Cells'] c/ml]]*Table1[[#This Row],[mitosis%]]</f>
        <v>0</v>
      </c>
      <c r="BL21" s="1">
        <v>0</v>
      </c>
      <c r="BM21" s="4">
        <f>Table1[[#This Row],[Abnormal_count]]/Table1[[#This Row],[total count]]</f>
        <v>0</v>
      </c>
      <c r="BN21" s="2">
        <f>Table1[[#This Row],['[Cells'] c/ml]]*Table1[[#This Row],[abnormal%]]</f>
        <v>0</v>
      </c>
    </row>
    <row r="22" spans="1:66" x14ac:dyDescent="0.25">
      <c r="A22" s="1" t="s">
        <v>35</v>
      </c>
      <c r="B22" s="1" t="s">
        <v>39</v>
      </c>
      <c r="C22" s="1" t="s">
        <v>33</v>
      </c>
      <c r="D22" s="1" t="s">
        <v>37</v>
      </c>
      <c r="E22" s="1">
        <v>4</v>
      </c>
      <c r="F22" s="3" t="s">
        <v>16</v>
      </c>
      <c r="G22" s="1" t="s">
        <v>16</v>
      </c>
      <c r="H22" s="2">
        <v>1651200000</v>
      </c>
      <c r="I22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2260</v>
      </c>
      <c r="J22" s="1">
        <v>2105</v>
      </c>
      <c r="K22" s="4">
        <f>J22/SUM(J22+U22,Z22,AC22,AG22,AL22,AQ22,BA22,BF22,BI22)</f>
        <v>0.93555555555555558</v>
      </c>
      <c r="L22" s="2">
        <f>Table1[[#This Row],['[Cells'] c/ml]]*Table1[[#This Row],[Rbc%]]</f>
        <v>1544789333.3333335</v>
      </c>
      <c r="M22" s="4">
        <f>SUM(Table1[[#This Row],[Lymoph%]],Table1[[#This Row],[FE%]],Table1[[#This Row],[GT%]],Table1[[#This Row],[CE%]],Table1[[#This Row],[Neutro%]],Table1[[#This Row],[Basophil%]])</f>
        <v>3.6283185840707971E-2</v>
      </c>
      <c r="N22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38.011235955056179</v>
      </c>
      <c r="O22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17.014705882352942</v>
      </c>
      <c r="P22" s="2">
        <f>Table1[[#This Row],['[Cells'] c/ml]]*Table1[[#This Row],[granulocyte%]]</f>
        <v>59910796.460177004</v>
      </c>
      <c r="Q22" s="4">
        <f>SUM(Table1[[#This Row],[Lymoph%]],Table1[[#This Row],[GT%]],Table1[[#This Row],[FE%]],Table1[[#This Row],[CE%]],Table1[[#This Row],[Neutro%]],Table1[[#This Row],[Basophil%]],Table1[[#This Row],[Monocyte%]])</f>
        <v>3.938053097345133E-2</v>
      </c>
      <c r="R22" s="2">
        <f>Table1[[#This Row],['[Cells'] c/ml]]*Table1[[#This Row],[wbc%]]</f>
        <v>65025132.743362837</v>
      </c>
      <c r="S22" s="7">
        <f>Table1[[#This Row],['[wbc']]]/Table1[[#This Row],['[Granulocyte']]]</f>
        <v>1.0853658536585364</v>
      </c>
      <c r="T22" s="7">
        <f>Table1[[#This Row],['[Rbc']]]/Table1[[#This Row],['[wbc']]]</f>
        <v>23.756803995006244</v>
      </c>
      <c r="U22" s="1">
        <v>43</v>
      </c>
      <c r="V22" s="4">
        <f>Table1[[#This Row],[Lympho_count]]/Table1[[#This Row],[total count]]</f>
        <v>1.9026548672566371E-2</v>
      </c>
      <c r="W22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0.48314606741573035</v>
      </c>
      <c r="X22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0.63235294117647056</v>
      </c>
      <c r="Y22" s="2">
        <f>Table1[[#This Row],['[Cells'] c/ml]]*Table1[[#This Row],[Lymoph%]]</f>
        <v>31416637.168141592</v>
      </c>
      <c r="Z22" s="1">
        <v>60</v>
      </c>
      <c r="AA22" s="4">
        <f>Table1[[#This Row],[Thrombo_count]]/Table1[[#This Row],[total count]]</f>
        <v>2.6548672566371681E-2</v>
      </c>
      <c r="AB22" s="2">
        <f>Table1[[#This Row],['[Cells'] c/ml]]*Table1[[#This Row],[Thrombo%]]</f>
        <v>43837168.14159292</v>
      </c>
      <c r="AC22" s="1">
        <v>21</v>
      </c>
      <c r="AD22" s="4">
        <f>Table1[[#This Row],[GT_count]]/Table1[[#This Row],[total count]]</f>
        <v>9.2920353982300884E-3</v>
      </c>
      <c r="AE22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0.23595505617977527</v>
      </c>
      <c r="AF22" s="2">
        <f>Table1[[#This Row],['[Cells'] c/ml]]*Table1[[#This Row],[GT%]]</f>
        <v>15343008.849557523</v>
      </c>
      <c r="AG22" s="1">
        <v>3</v>
      </c>
      <c r="AH22" s="4">
        <f>Table1[[#This Row],[FE_count]]/Table1[[#This Row],[total count]]</f>
        <v>1.3274336283185841E-3</v>
      </c>
      <c r="AI22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3.3707865168539325E-2</v>
      </c>
      <c r="AJ22" s="4">
        <f>Table1[[#This Row],[FE_count]]/(Table1[[#This Row],[Lympho_count]]+Table1[[#This Row],[FE_count]]+Table1[[#This Row],[CE_count]]+Table1[[#This Row],[Neutro_count]]+Table1[[#This Row],[Monocyte_count]]+Table1[[#This Row],[Basophil_count]])</f>
        <v>4.4117647058823532E-2</v>
      </c>
      <c r="AK22" s="2">
        <f>Table1[[#This Row],['[Cells'] c/ml]]*Table1[[#This Row],[FE%]]</f>
        <v>2191858.4070796459</v>
      </c>
      <c r="AL22" s="1">
        <v>14</v>
      </c>
      <c r="AM22" s="4">
        <f>Table1[[#This Row],[CE_count]]/Table1[[#This Row],[total count]]</f>
        <v>6.1946902654867256E-3</v>
      </c>
      <c r="AN22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0.15730337078651685</v>
      </c>
      <c r="AO22" s="4">
        <f>Table1[[#This Row],[CE_count]]/(Table1[[#This Row],[Lympho_count]]+Table1[[#This Row],[FE_count]]+Table1[[#This Row],[CE_count]]+Table1[[#This Row],[Neutro_count]]+Table1[[#This Row],[Monocyte_count]]+Table1[[#This Row],[Basophil_count]])</f>
        <v>0.20588235294117646</v>
      </c>
      <c r="AP22" s="2">
        <f>Table1[[#This Row],['[Cells'] c/ml]]*Table1[[#This Row],[CE%]]</f>
        <v>10228672.566371681</v>
      </c>
      <c r="AQ22" s="1">
        <v>1</v>
      </c>
      <c r="AR22" s="4">
        <f>Table1[[#This Row],[Neutro_count]]/Table1[[#This Row],[total count]]</f>
        <v>4.4247787610619468E-4</v>
      </c>
      <c r="AS22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1.1235955056179775E-2</v>
      </c>
      <c r="AT22" s="4">
        <f>Table1[[#This Row],[Neutro_count]]/(Table1[[#This Row],[Lympho_count]]+Table1[[#This Row],[FE_count]]+Table1[[#This Row],[CE_count]]+Table1[[#This Row],[Neutro_count]]+Table1[[#This Row],[Monocyte_count]]+Table1[[#This Row],[Basophil_count]])</f>
        <v>1.4705882352941176E-2</v>
      </c>
      <c r="AU22" s="2">
        <f>Table1[[#This Row],['[Cells'] c/ml]]*Table1[[#This Row],[Neutro%]]</f>
        <v>730619.46902654867</v>
      </c>
      <c r="AV22" s="5">
        <v>7</v>
      </c>
      <c r="AW22" s="4">
        <f>Table1[[#This Row],[Monocyte_count]]/Table1[[#This Row],[total count]]</f>
        <v>3.0973451327433628E-3</v>
      </c>
      <c r="AX22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7.8651685393258425E-2</v>
      </c>
      <c r="AY22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0.10294117647058823</v>
      </c>
      <c r="AZ22" s="2">
        <f>Table1[[#This Row],['[Cells'] c/ml]]*Table1[[#This Row],[Monocyte%]]</f>
        <v>5114336.2831858406</v>
      </c>
      <c r="BA22" s="1">
        <v>0</v>
      </c>
      <c r="BB22" s="4">
        <f>Table1[[#This Row],[Basophil_count]]/Table1[[#This Row],[total count]]</f>
        <v>0</v>
      </c>
      <c r="BC22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D22" s="4"/>
      <c r="BE22" s="2">
        <f>Table1[[#This Row],['[Cells'] c/ml]]*Table1[[#This Row],[Basophil%]]</f>
        <v>0</v>
      </c>
      <c r="BF22" s="1">
        <v>3</v>
      </c>
      <c r="BG22" s="4">
        <f>Table1[[#This Row],[immature_count]]/Table1[[#This Row],[total count]]</f>
        <v>1.3274336283185841E-3</v>
      </c>
      <c r="BH22" s="2">
        <f>Table1[[#This Row],['[Cells'] c/ml]]*Table1[[#This Row],[immature%]]</f>
        <v>2191858.4070796459</v>
      </c>
      <c r="BI22" s="1">
        <v>0</v>
      </c>
      <c r="BJ22" s="4">
        <f>Table1[[#This Row],[mitosis_count]]/Table1[[#This Row],[total count]]</f>
        <v>0</v>
      </c>
      <c r="BK22" s="2">
        <f>Table1[[#This Row],['[Cells'] c/ml]]*Table1[[#This Row],[mitosis%]]</f>
        <v>0</v>
      </c>
      <c r="BL22" s="1">
        <v>3</v>
      </c>
      <c r="BM22" s="4">
        <f>Table1[[#This Row],[Abnormal_count]]/Table1[[#This Row],[total count]]</f>
        <v>1.3274336283185841E-3</v>
      </c>
      <c r="BN22" s="2">
        <f>Table1[[#This Row],['[Cells'] c/ml]]*Table1[[#This Row],[abnormal%]]</f>
        <v>2191858.4070796459</v>
      </c>
    </row>
    <row r="23" spans="1:66" x14ac:dyDescent="0.25">
      <c r="A23" s="1" t="s">
        <v>35</v>
      </c>
      <c r="B23" s="1" t="s">
        <v>40</v>
      </c>
      <c r="C23" s="1" t="s">
        <v>15</v>
      </c>
      <c r="D23" s="1" t="s">
        <v>37</v>
      </c>
      <c r="E23" s="1">
        <v>4</v>
      </c>
      <c r="F23" s="3" t="s">
        <v>16</v>
      </c>
      <c r="G23" s="1" t="s">
        <v>16</v>
      </c>
      <c r="H23" s="2">
        <v>1657600000</v>
      </c>
      <c r="I23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2184</v>
      </c>
      <c r="J23" s="1">
        <v>2037</v>
      </c>
      <c r="K23" s="4">
        <f>J23/SUM(J23+U23,Z23,AC23,AG23,AL23,AQ23,BA23,BF23,BI23)</f>
        <v>0.9361213235294118</v>
      </c>
      <c r="L23" s="2">
        <f>Table1[[#This Row],['[Cells'] c/ml]]*Table1[[#This Row],[Rbc%]]</f>
        <v>1551714705.8823531</v>
      </c>
      <c r="M23" s="4">
        <f>SUM(Table1[[#This Row],[Lymoph%]],Table1[[#This Row],[FE%]],Table1[[#This Row],[GT%]],Table1[[#This Row],[CE%]],Table1[[#This Row],[Neutro%]],Table1[[#This Row],[Basophil%]])</f>
        <v>3.388278388278388E-2</v>
      </c>
      <c r="N23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37.049382716049379</v>
      </c>
      <c r="O23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23.059701492537314</v>
      </c>
      <c r="P23" s="2">
        <f>Table1[[#This Row],['[Cells'] c/ml]]*Table1[[#This Row],[granulocyte%]]</f>
        <v>56164102.56410256</v>
      </c>
      <c r="Q23" s="4">
        <f>SUM(Table1[[#This Row],[Lymoph%]],Table1[[#This Row],[GT%]],Table1[[#This Row],[FE%]],Table1[[#This Row],[CE%]],Table1[[#This Row],[Neutro%]],Table1[[#This Row],[Basophil%]],Table1[[#This Row],[Monocyte%]])</f>
        <v>3.7087912087912088E-2</v>
      </c>
      <c r="R23" s="2">
        <f>Table1[[#This Row],['[Cells'] c/ml]]*Table1[[#This Row],[wbc%]]</f>
        <v>61476923.07692308</v>
      </c>
      <c r="S23" s="7">
        <f>Table1[[#This Row],['[wbc']]]/Table1[[#This Row],['[Granulocyte']]]</f>
        <v>1.0945945945945947</v>
      </c>
      <c r="T23" s="7">
        <f>Table1[[#This Row],['[Rbc']]]/Table1[[#This Row],['[wbc']]]</f>
        <v>25.240604575163399</v>
      </c>
      <c r="U23" s="1">
        <v>33</v>
      </c>
      <c r="V23" s="4">
        <f>Table1[[#This Row],[Lympho_count]]/Table1[[#This Row],[total count]]</f>
        <v>1.510989010989011E-2</v>
      </c>
      <c r="W23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0.40740740740740738</v>
      </c>
      <c r="X23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0.4925373134328358</v>
      </c>
      <c r="Y23" s="2">
        <f>Table1[[#This Row],['[Cells'] c/ml]]*Table1[[#This Row],[Lymoph%]]</f>
        <v>25046153.846153848</v>
      </c>
      <c r="Z23" s="1">
        <v>65</v>
      </c>
      <c r="AA23" s="4">
        <f>Table1[[#This Row],[Thrombo_count]]/Table1[[#This Row],[total count]]</f>
        <v>2.976190476190476E-2</v>
      </c>
      <c r="AB23" s="2">
        <f>Table1[[#This Row],['[Cells'] c/ml]]*Table1[[#This Row],[Thrombo%]]</f>
        <v>49333333.333333328</v>
      </c>
      <c r="AC23" s="1">
        <v>14</v>
      </c>
      <c r="AD23" s="4">
        <f>Table1[[#This Row],[GT_count]]/Table1[[#This Row],[total count]]</f>
        <v>6.41025641025641E-3</v>
      </c>
      <c r="AE23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0.1728395061728395</v>
      </c>
      <c r="AF23" s="2">
        <f>Table1[[#This Row],['[Cells'] c/ml]]*Table1[[#This Row],[GT%]]</f>
        <v>10625641.025641026</v>
      </c>
      <c r="AG23" s="1">
        <v>5</v>
      </c>
      <c r="AH23" s="4">
        <f>Table1[[#This Row],[FE_count]]/Table1[[#This Row],[total count]]</f>
        <v>2.2893772893772895E-3</v>
      </c>
      <c r="AI23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6.1728395061728392E-2</v>
      </c>
      <c r="AJ23" s="4">
        <f>Table1[[#This Row],[FE_count]]/(Table1[[#This Row],[Lympho_count]]+Table1[[#This Row],[FE_count]]+Table1[[#This Row],[CE_count]]+Table1[[#This Row],[Neutro_count]]+Table1[[#This Row],[Monocyte_count]]+Table1[[#This Row],[Basophil_count]])</f>
        <v>7.4626865671641784E-2</v>
      </c>
      <c r="AK23" s="2">
        <f>Table1[[#This Row],['[Cells'] c/ml]]*Table1[[#This Row],[FE%]]</f>
        <v>3794871.794871795</v>
      </c>
      <c r="AL23" s="1">
        <v>18</v>
      </c>
      <c r="AM23" s="4">
        <f>Table1[[#This Row],[CE_count]]/Table1[[#This Row],[total count]]</f>
        <v>8.241758241758242E-3</v>
      </c>
      <c r="AN23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0.22222222222222221</v>
      </c>
      <c r="AO23" s="4">
        <f>Table1[[#This Row],[CE_count]]/(Table1[[#This Row],[Lympho_count]]+Table1[[#This Row],[FE_count]]+Table1[[#This Row],[CE_count]]+Table1[[#This Row],[Neutro_count]]+Table1[[#This Row],[Monocyte_count]]+Table1[[#This Row],[Basophil_count]])</f>
        <v>0.26865671641791045</v>
      </c>
      <c r="AP23" s="2">
        <f>Table1[[#This Row],['[Cells'] c/ml]]*Table1[[#This Row],[CE%]]</f>
        <v>13661538.461538462</v>
      </c>
      <c r="AQ23" s="1">
        <v>4</v>
      </c>
      <c r="AR23" s="4">
        <f>Table1[[#This Row],[Neutro_count]]/Table1[[#This Row],[total count]]</f>
        <v>1.8315018315018315E-3</v>
      </c>
      <c r="AS23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4.9382716049382713E-2</v>
      </c>
      <c r="AT23" s="4">
        <f>Table1[[#This Row],[Neutro_count]]/(Table1[[#This Row],[Lympho_count]]+Table1[[#This Row],[FE_count]]+Table1[[#This Row],[CE_count]]+Table1[[#This Row],[Neutro_count]]+Table1[[#This Row],[Monocyte_count]]+Table1[[#This Row],[Basophil_count]])</f>
        <v>5.9701492537313432E-2</v>
      </c>
      <c r="AU23" s="2">
        <f>Table1[[#This Row],['[Cells'] c/ml]]*Table1[[#This Row],[Neutro%]]</f>
        <v>3035897.435897436</v>
      </c>
      <c r="AV23" s="5">
        <v>7</v>
      </c>
      <c r="AW23" s="4">
        <f>Table1[[#This Row],[Monocyte_count]]/Table1[[#This Row],[total count]]</f>
        <v>3.205128205128205E-3</v>
      </c>
      <c r="AX23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8.6419753086419748E-2</v>
      </c>
      <c r="AY23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0.1044776119402985</v>
      </c>
      <c r="AZ23" s="2">
        <f>Table1[[#This Row],['[Cells'] c/ml]]*Table1[[#This Row],[Monocyte%]]</f>
        <v>5312820.512820513</v>
      </c>
      <c r="BA23" s="1">
        <v>0</v>
      </c>
      <c r="BB23" s="4">
        <f>Table1[[#This Row],[Basophil_count]]/Table1[[#This Row],[total count]]</f>
        <v>0</v>
      </c>
      <c r="BC23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D23" s="4"/>
      <c r="BE23" s="2">
        <f>Table1[[#This Row],['[Cells'] c/ml]]*Table1[[#This Row],[Basophil%]]</f>
        <v>0</v>
      </c>
      <c r="BF23" s="1">
        <v>0</v>
      </c>
      <c r="BG23" s="4">
        <f>Table1[[#This Row],[immature_count]]/Table1[[#This Row],[total count]]</f>
        <v>0</v>
      </c>
      <c r="BH23" s="2">
        <f>Table1[[#This Row],['[Cells'] c/ml]]*Table1[[#This Row],[immature%]]</f>
        <v>0</v>
      </c>
      <c r="BI23" s="1">
        <v>0</v>
      </c>
      <c r="BJ23" s="4">
        <f>Table1[[#This Row],[mitosis_count]]/Table1[[#This Row],[total count]]</f>
        <v>0</v>
      </c>
      <c r="BK23" s="2">
        <f>Table1[[#This Row],['[Cells'] c/ml]]*Table1[[#This Row],[mitosis%]]</f>
        <v>0</v>
      </c>
      <c r="BL23" s="1">
        <v>1</v>
      </c>
      <c r="BM23" s="4">
        <f>Table1[[#This Row],[Abnormal_count]]/Table1[[#This Row],[total count]]</f>
        <v>4.5787545787545788E-4</v>
      </c>
      <c r="BN23" s="2">
        <f>Table1[[#This Row],['[Cells'] c/ml]]*Table1[[#This Row],[abnormal%]]</f>
        <v>758974.358974359</v>
      </c>
    </row>
    <row r="24" spans="1:66" x14ac:dyDescent="0.25">
      <c r="A24" s="1" t="s">
        <v>35</v>
      </c>
      <c r="B24" s="1" t="s">
        <v>41</v>
      </c>
      <c r="C24" s="1" t="s">
        <v>42</v>
      </c>
      <c r="D24" s="1" t="s">
        <v>43</v>
      </c>
      <c r="E24" s="1">
        <v>4</v>
      </c>
      <c r="F24" s="3" t="s">
        <v>16</v>
      </c>
      <c r="G24" s="1" t="s">
        <v>16</v>
      </c>
      <c r="H24" s="2">
        <v>1433600000</v>
      </c>
      <c r="I24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2227</v>
      </c>
      <c r="J24" s="1">
        <v>2084</v>
      </c>
      <c r="K24" s="4">
        <f>J24/SUM(J24+U24,Z24,AC24,AG24,AL24,AQ24,BA24,BF24,BI24)</f>
        <v>0.93705035971223016</v>
      </c>
      <c r="L24" s="2">
        <f>Table1[[#This Row],['[Cells'] c/ml]]*Table1[[#This Row],[Rbc%]]</f>
        <v>1343355395.6834531</v>
      </c>
      <c r="M24" s="4">
        <f>SUM(Table1[[#This Row],[Lymoph%]],Table1[[#This Row],[FE%]],Table1[[#This Row],[GT%]],Table1[[#This Row],[CE%]],Table1[[#This Row],[Neutro%]],Table1[[#This Row],[Basophil%]])</f>
        <v>3.2779524023349799E-2</v>
      </c>
      <c r="N24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14</v>
      </c>
      <c r="O24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1</v>
      </c>
      <c r="P24" s="2">
        <f>Table1[[#This Row],['[Cells'] c/ml]]*Table1[[#This Row],[granulocyte%]]</f>
        <v>46992725.639874272</v>
      </c>
      <c r="Q24" s="4">
        <f>SUM(Table1[[#This Row],[Lymoph%]],Table1[[#This Row],[GT%]],Table1[[#This Row],[FE%]],Table1[[#This Row],[CE%]],Table1[[#This Row],[Neutro%]],Table1[[#This Row],[Basophil%]],Table1[[#This Row],[Monocyte%]])</f>
        <v>3.3677593174674447E-2</v>
      </c>
      <c r="R24" s="2">
        <f>Table1[[#This Row],['[Cells'] c/ml]]*Table1[[#This Row],[wbc%]]</f>
        <v>48280197.575213291</v>
      </c>
      <c r="S24" s="7">
        <f>Table1[[#This Row],['[wbc']]]/Table1[[#This Row],['[Granulocyte']]]</f>
        <v>1.0273972602739725</v>
      </c>
      <c r="T24" s="7">
        <f>Table1[[#This Row],['[Rbc']]]/Table1[[#This Row],['[wbc']]]</f>
        <v>27.824148681055153</v>
      </c>
      <c r="U24" s="1">
        <v>59</v>
      </c>
      <c r="V24" s="4">
        <f>Table1[[#This Row],[Lympho_count]]/Table1[[#This Row],[total count]]</f>
        <v>2.6493039964077234E-2</v>
      </c>
      <c r="W24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0.78666666666666663</v>
      </c>
      <c r="X24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0.95161290322580649</v>
      </c>
      <c r="Y24" s="2">
        <f>Table1[[#This Row],['[Cells'] c/ml]]*Table1[[#This Row],[Lymoph%]]</f>
        <v>37980422.092501126</v>
      </c>
      <c r="Z24" s="1">
        <v>59</v>
      </c>
      <c r="AA24" s="4">
        <f>Table1[[#This Row],[Thrombo_count]]/Table1[[#This Row],[total count]]</f>
        <v>2.6493039964077234E-2</v>
      </c>
      <c r="AB24" s="2">
        <f>Table1[[#This Row],['[Cells'] c/ml]]*Table1[[#This Row],[Thrombo%]]</f>
        <v>37980422.092501126</v>
      </c>
      <c r="AC24" s="1">
        <v>13</v>
      </c>
      <c r="AD24" s="4">
        <f>Table1[[#This Row],[GT_count]]/Table1[[#This Row],[total count]]</f>
        <v>5.8374494836102376E-3</v>
      </c>
      <c r="AE24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0.17333333333333334</v>
      </c>
      <c r="AF24" s="2">
        <f>Table1[[#This Row],['[Cells'] c/ml]]*Table1[[#This Row],[GT%]]</f>
        <v>8368567.5797036365</v>
      </c>
      <c r="AG24" s="1">
        <v>1</v>
      </c>
      <c r="AH24" s="4">
        <f>Table1[[#This Row],[FE_count]]/Table1[[#This Row],[total count]]</f>
        <v>4.4903457566232598E-4</v>
      </c>
      <c r="AI24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1.3333333333333334E-2</v>
      </c>
      <c r="AJ24" s="4">
        <f>Table1[[#This Row],[FE_count]]/(Table1[[#This Row],[Lympho_count]]+Table1[[#This Row],[FE_count]]+Table1[[#This Row],[CE_count]]+Table1[[#This Row],[Neutro_count]]+Table1[[#This Row],[Monocyte_count]]+Table1[[#This Row],[Basophil_count]])</f>
        <v>1.6129032258064516E-2</v>
      </c>
      <c r="AK24" s="2">
        <f>Table1[[#This Row],['[Cells'] c/ml]]*Table1[[#This Row],[FE%]]</f>
        <v>643735.96766951052</v>
      </c>
      <c r="AL24" s="1">
        <v>0</v>
      </c>
      <c r="AM24" s="4">
        <f>Table1[[#This Row],[CE_count]]/Table1[[#This Row],[total count]]</f>
        <v>0</v>
      </c>
      <c r="AN24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</v>
      </c>
      <c r="AO24" s="4">
        <f>Table1[[#This Row],[CE_count]]/(Table1[[#This Row],[Lympho_count]]+Table1[[#This Row],[FE_count]]+Table1[[#This Row],[CE_count]]+Table1[[#This Row],[Neutro_count]]+Table1[[#This Row],[Monocyte_count]]+Table1[[#This Row],[Basophil_count]])</f>
        <v>0</v>
      </c>
      <c r="AP24" s="2">
        <f>Table1[[#This Row],['[Cells'] c/ml]]*Table1[[#This Row],[CE%]]</f>
        <v>0</v>
      </c>
      <c r="AQ24" s="1">
        <v>0</v>
      </c>
      <c r="AR24" s="4">
        <f>Table1[[#This Row],[Neutro_count]]/Table1[[#This Row],[total count]]</f>
        <v>0</v>
      </c>
      <c r="AS24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0</v>
      </c>
      <c r="AT24" s="4">
        <f>Table1[[#This Row],[Neutro_count]]/(Table1[[#This Row],[Lympho_count]]+Table1[[#This Row],[FE_count]]+Table1[[#This Row],[CE_count]]+Table1[[#This Row],[Neutro_count]]+Table1[[#This Row],[Monocyte_count]]+Table1[[#This Row],[Basophil_count]])</f>
        <v>0</v>
      </c>
      <c r="AU24" s="2">
        <f>Table1[[#This Row],['[Cells'] c/ml]]*Table1[[#This Row],[Neutro%]]</f>
        <v>0</v>
      </c>
      <c r="AV24" s="5">
        <v>2</v>
      </c>
      <c r="AW24" s="4">
        <f>Table1[[#This Row],[Monocyte_count]]/Table1[[#This Row],[total count]]</f>
        <v>8.9806915132465196E-4</v>
      </c>
      <c r="AX24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2.6666666666666668E-2</v>
      </c>
      <c r="AY24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3.2258064516129031E-2</v>
      </c>
      <c r="AZ24" s="2">
        <f>Table1[[#This Row],['[Cells'] c/ml]]*Table1[[#This Row],[Monocyte%]]</f>
        <v>1287471.935339021</v>
      </c>
      <c r="BA24" s="1">
        <v>0</v>
      </c>
      <c r="BB24" s="4">
        <f>Table1[[#This Row],[Basophil_count]]/Table1[[#This Row],[total count]]</f>
        <v>0</v>
      </c>
      <c r="BC24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D24" s="4"/>
      <c r="BE24" s="2">
        <f>Table1[[#This Row],['[Cells'] c/ml]]*Table1[[#This Row],[Basophil%]]</f>
        <v>0</v>
      </c>
      <c r="BF24" s="1">
        <v>7</v>
      </c>
      <c r="BG24" s="4">
        <f>Table1[[#This Row],[immature_count]]/Table1[[#This Row],[total count]]</f>
        <v>3.1432420296362818E-3</v>
      </c>
      <c r="BH24" s="2">
        <f>Table1[[#This Row],['[Cells'] c/ml]]*Table1[[#This Row],[immature%]]</f>
        <v>4506151.7736865738</v>
      </c>
      <c r="BI24" s="1">
        <v>1</v>
      </c>
      <c r="BJ24" s="4">
        <f>Table1[[#This Row],[mitosis_count]]/Table1[[#This Row],[total count]]</f>
        <v>4.4903457566232598E-4</v>
      </c>
      <c r="BK24" s="2">
        <f>Table1[[#This Row],['[Cells'] c/ml]]*Table1[[#This Row],[mitosis%]]</f>
        <v>643735.96766951052</v>
      </c>
      <c r="BL24" s="1">
        <v>1</v>
      </c>
      <c r="BM24" s="4">
        <f>Table1[[#This Row],[Abnormal_count]]/Table1[[#This Row],[total count]]</f>
        <v>4.4903457566232598E-4</v>
      </c>
      <c r="BN24" s="2">
        <f>Table1[[#This Row],['[Cells'] c/ml]]*Table1[[#This Row],[abnormal%]]</f>
        <v>643735.96766951052</v>
      </c>
    </row>
    <row r="25" spans="1:66" x14ac:dyDescent="0.25">
      <c r="H25" s="2"/>
      <c r="K25" s="4"/>
      <c r="L25" s="2"/>
      <c r="M25" s="4"/>
      <c r="O25" s="7"/>
      <c r="P25" s="2"/>
      <c r="R25" s="2"/>
      <c r="V25" s="4"/>
      <c r="W25" s="4"/>
      <c r="X25" s="4"/>
      <c r="Y25" s="2"/>
      <c r="AA25" s="4"/>
      <c r="AB25" s="2"/>
      <c r="AD25" s="4"/>
      <c r="AE25" s="4"/>
      <c r="AF25" s="2"/>
      <c r="AH25" s="4"/>
      <c r="AI25" s="4"/>
      <c r="AJ25" s="4"/>
      <c r="AK25" s="2"/>
      <c r="AM25" s="4"/>
      <c r="AN25" s="4"/>
      <c r="AO25" s="4"/>
      <c r="AP25" s="2"/>
      <c r="AR25" s="4"/>
      <c r="AS25" s="4"/>
      <c r="AT25" s="4"/>
      <c r="AU25" s="2"/>
      <c r="AV25" s="5"/>
      <c r="AW25" s="4"/>
      <c r="AX25" s="4"/>
      <c r="AY25" s="4"/>
      <c r="AZ25" s="2"/>
      <c r="BA25" s="1"/>
      <c r="BB25" s="4"/>
      <c r="BC25" s="4"/>
      <c r="BD25" s="4"/>
      <c r="BE25" s="2"/>
      <c r="BF25" s="1"/>
      <c r="BG25" s="4"/>
      <c r="BH25" s="2"/>
      <c r="BI25" s="1"/>
      <c r="BJ25" s="4"/>
      <c r="BK25" s="2"/>
      <c r="BM25" s="4"/>
      <c r="BN25" s="2"/>
    </row>
    <row r="26" spans="1:66" x14ac:dyDescent="0.25">
      <c r="A26" s="1" t="s">
        <v>8</v>
      </c>
      <c r="B26" s="1" t="s">
        <v>9</v>
      </c>
      <c r="C26" s="1" t="s">
        <v>10</v>
      </c>
      <c r="D26" s="1" t="s">
        <v>11</v>
      </c>
      <c r="E26" s="1">
        <v>6</v>
      </c>
      <c r="F26" s="3" t="s">
        <v>12</v>
      </c>
      <c r="G26" s="1">
        <v>2</v>
      </c>
      <c r="H26" s="2">
        <v>456000000</v>
      </c>
      <c r="I26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2296</v>
      </c>
      <c r="J26" s="1">
        <v>2085</v>
      </c>
      <c r="K26" s="4">
        <f>Table1[[#This Row],[Rbc_count]]/SUM(Table1[[#This Row],[Rbc_count]],Table1[[#This Row],[Thrombo_count]],Table1[[#This Row],[Lympho_count]],Table1[[#This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Row],[mitosis_count]])</f>
        <v>0.9081010452961672</v>
      </c>
      <c r="L26" s="2">
        <f>Table1[[#This Row],['[Cells'] c/ml]]*Table1[[#This Row],[Rbc%]]</f>
        <v>414094076.65505224</v>
      </c>
      <c r="M26" s="4">
        <f>SUM(Table1[[#This Row],[Lymoph%]],Table1[[#This Row],[FE%]],Table1[[#This Row],[GT%]],Table1[[#This Row],[CE%]],Table1[[#This Row],[Neutro%]],Table1[[#This Row],[Basophil%]])</f>
        <v>5.6184668989547042E-2</v>
      </c>
      <c r="N26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46.022900763358777</v>
      </c>
      <c r="O26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34.025210084033617</v>
      </c>
      <c r="P26" s="2">
        <f>Table1[[#This Row],['[Cells'] c/ml]]*Table1[[#This Row],[granulocyte%]]</f>
        <v>25620209.059233449</v>
      </c>
      <c r="Q26" s="4">
        <f>SUM(Table1[[#This Row],[Lymoph%]],Table1[[#This Row],[GT%]],Table1[[#This Row],[FE%]],Table1[[#This Row],[CE%]],Table1[[#This Row],[Neutro%]],Table1[[#This Row],[Basophil%]],Table1[[#This Row],[Monocyte%]])</f>
        <v>5.7055749128919864E-2</v>
      </c>
      <c r="R26" s="2">
        <f>Table1[[#This Row],['[Cells'] c/ml]]*Table1[[#This Row],[wbc%]]</f>
        <v>26017421.602787457</v>
      </c>
      <c r="S26" s="7">
        <f>Table1[[#This Row],['[wbc']]]/Table1[[#This Row],['[Granulocyte']]]</f>
        <v>1.0155038759689923</v>
      </c>
      <c r="T26" s="7">
        <f>Table1[[#This Row],['[Rbc']]]/Table1[[#This Row],['[wbc']]]</f>
        <v>15.916030534351144</v>
      </c>
      <c r="U26" s="1">
        <v>80</v>
      </c>
      <c r="V26" s="4">
        <f>Table1[[#This Row],[Lympho_count]]/Table1[[#This Row],[total count]]</f>
        <v>3.484320557491289E-2</v>
      </c>
      <c r="W26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0.61068702290076338</v>
      </c>
      <c r="X26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0.67226890756302526</v>
      </c>
      <c r="Y26" s="2">
        <f>Table1[[#This Row],['[Cells'] c/ml]]*Table1[[#This Row],[Lymoph%]]</f>
        <v>15888501.742160277</v>
      </c>
      <c r="Z26" s="1">
        <v>80</v>
      </c>
      <c r="AA26" s="4">
        <f>Table1[[#This Row],[Thrombo_count]]/Table1[[#This Row],[total count]]</f>
        <v>3.484320557491289E-2</v>
      </c>
      <c r="AB26" s="2">
        <f>Table1[[#This Row],['[Cells'] c/ml]]*Table1[[#This Row],[Thrombo%]]</f>
        <v>15888501.742160277</v>
      </c>
      <c r="AC26" s="1">
        <v>12</v>
      </c>
      <c r="AD26" s="4">
        <f>Table1[[#This Row],[GT_count]]/Table1[[#This Row],[total count]]</f>
        <v>5.2264808362369342E-3</v>
      </c>
      <c r="AE26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9.1603053435114504E-2</v>
      </c>
      <c r="AF26" s="2">
        <f>Table1[[#This Row],['[Cells'] c/ml]]*Table1[[#This Row],[GT%]]</f>
        <v>2383275.261324042</v>
      </c>
      <c r="AG26" s="1">
        <v>19</v>
      </c>
      <c r="AH26" s="4">
        <f>Table1[[#This Row],[FE_count]]/Table1[[#This Row],[total count]]</f>
        <v>8.2752613240418115E-3</v>
      </c>
      <c r="AI26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0.14503816793893129</v>
      </c>
      <c r="AJ26" s="4">
        <f>Table1[[#This Row],[FE_count]]/(Table1[[#This Row],[Lympho_count]]+Table1[[#This Row],[FE_count]]+Table1[[#This Row],[CE_count]]+Table1[[#This Row],[Neutro_count]]+Table1[[#This Row],[Monocyte_count]]+Table1[[#This Row],[Basophil_count]])</f>
        <v>0.15966386554621848</v>
      </c>
      <c r="AK26" s="2">
        <f>Table1[[#This Row],['[Cells'] c/ml]]*Table1[[#This Row],[FE%]]</f>
        <v>3773519.1637630658</v>
      </c>
      <c r="AL26" s="1">
        <v>15</v>
      </c>
      <c r="AM26" s="4">
        <f>Table1[[#This Row],[CE_count]]/Table1[[#This Row],[total count]]</f>
        <v>6.5331010452961674E-3</v>
      </c>
      <c r="AN26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0.11450381679389313</v>
      </c>
      <c r="AO26" s="4">
        <f>Table1[[#This Row],[CE_count]]/(Table1[[#This Row],[Lympho_count]]+Table1[[#This Row],[FE_count]]+Table1[[#This Row],[CE_count]]+Table1[[#This Row],[Neutro_count]]+Table1[[#This Row],[Monocyte_count]]+Table1[[#This Row],[Basophil_count]])</f>
        <v>0.12605042016806722</v>
      </c>
      <c r="AP26" s="2">
        <f>Table1[[#This Row],['[Cells'] c/ml]]*Table1[[#This Row],[CE%]]</f>
        <v>2979094.0766550521</v>
      </c>
      <c r="AQ26" s="1">
        <v>3</v>
      </c>
      <c r="AR26" s="4">
        <f>Table1[[#This Row],[Neutro_count]]/Table1[[#This Row],[total count]]</f>
        <v>1.3066202090592336E-3</v>
      </c>
      <c r="AS26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2.2900763358778626E-2</v>
      </c>
      <c r="AT26" s="4">
        <f>Table1[[#This Row],[Neutro_count]]/(Table1[[#This Row],[Lympho_count]]+Table1[[#This Row],[FE_count]]+Table1[[#This Row],[CE_count]]+Table1[[#This Row],[Neutro_count]]+Table1[[#This Row],[Monocyte_count]]+Table1[[#This Row],[Basophil_count]])</f>
        <v>2.5210084033613446E-2</v>
      </c>
      <c r="AU26" s="2">
        <f>Table1[[#This Row],['[Cells'] c/ml]]*Table1[[#This Row],[Neutro%]]</f>
        <v>595818.8153310105</v>
      </c>
      <c r="AV26" s="5">
        <v>2</v>
      </c>
      <c r="AW26" s="4">
        <f>Table1[[#This Row],[Monocyte_count]]/Table1[[#This Row],[total count]]</f>
        <v>8.710801393728223E-4</v>
      </c>
      <c r="AX26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1.5267175572519083E-2</v>
      </c>
      <c r="AY26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1.680672268907563E-2</v>
      </c>
      <c r="AZ26" s="2">
        <f>Table1[[#This Row],['[Cells'] c/ml]]*Table1[[#This Row],[Monocyte%]]</f>
        <v>397212.54355400696</v>
      </c>
      <c r="BA26" s="1">
        <v>0</v>
      </c>
      <c r="BB26" s="4">
        <f>Table1[[#This Row],[Basophil_count]]/Table1[[#This Row],[total count]]</f>
        <v>0</v>
      </c>
      <c r="BC26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D26" s="4"/>
      <c r="BE26" s="2">
        <f>Table1[[#This Row],['[Cells'] c/ml]]*Table1[[#This Row],[Basophil%]]</f>
        <v>0</v>
      </c>
      <c r="BF26" s="1">
        <v>0</v>
      </c>
      <c r="BG26" s="4">
        <f>Table1[[#This Row],[immature_count]]/Table1[[#This Row],[total count]]</f>
        <v>0</v>
      </c>
      <c r="BH26" s="2">
        <f>Table1[[#This Row],['[Cells'] c/ml]]*Table1[[#This Row],[immature%]]</f>
        <v>0</v>
      </c>
      <c r="BI26" s="1">
        <v>0</v>
      </c>
      <c r="BJ26" s="4">
        <f>Table1[[#This Row],[mitosis_count]]/Table1[[#This Row],[total count]]</f>
        <v>0</v>
      </c>
      <c r="BK26" s="2">
        <f>Table1[[#This Row],['[Cells'] c/ml]]*Table1[[#This Row],[mitosis%]]</f>
        <v>0</v>
      </c>
      <c r="BL26" s="1">
        <v>0</v>
      </c>
      <c r="BM26" s="4">
        <f>Table1[[#This Row],[Abnormal_count]]/Table1[[#This Row],[total count]]</f>
        <v>0</v>
      </c>
      <c r="BN26" s="2">
        <f>Table1[[#This Row],['[Cells'] c/ml]]*Table1[[#This Row],[abnormal%]]</f>
        <v>0</v>
      </c>
    </row>
    <row r="27" spans="1:66" x14ac:dyDescent="0.25">
      <c r="A27" s="1" t="s">
        <v>8</v>
      </c>
      <c r="B27" s="1" t="s">
        <v>13</v>
      </c>
      <c r="C27" s="1" t="s">
        <v>10</v>
      </c>
      <c r="D27" s="1" t="s">
        <v>11</v>
      </c>
      <c r="E27" s="1">
        <v>6</v>
      </c>
      <c r="F27" s="3" t="s">
        <v>20</v>
      </c>
      <c r="G27" s="1">
        <v>0</v>
      </c>
      <c r="H27" s="2">
        <v>478000000</v>
      </c>
      <c r="I27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2349</v>
      </c>
      <c r="J27" s="1">
        <v>2166</v>
      </c>
      <c r="K27" s="4">
        <f>Table1[[#This Row],[Rbc_count]]/SUM(Table1[[#This Row],[Rbc_count]],Table1[[#This Row],[Thrombo_count]],Table1[[#This Row],[Lympho_count]],Table1[[#This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Row],[mitosis_count]])</f>
        <v>0.92209450830140482</v>
      </c>
      <c r="L27" s="2">
        <f>Table1[[#This Row],['[Cells'] c/ml]]*Table1[[#This Row],[Rbc%]]</f>
        <v>440761174.96807152</v>
      </c>
      <c r="M27" s="4">
        <f>SUM(Table1[[#This Row],[Lymoph%]],Table1[[#This Row],[FE%]],Table1[[#This Row],[GT%]],Table1[[#This Row],[CE%]],Table1[[#This Row],[Neutro%]],Table1[[#This Row],[Basophil%]])</f>
        <v>4.5125585355470413E-2</v>
      </c>
      <c r="N27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39.046296296296298</v>
      </c>
      <c r="O27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28.051546391752577</v>
      </c>
      <c r="P27" s="2">
        <f>Table1[[#This Row],['[Cells'] c/ml]]*Table1[[#This Row],[granulocyte%]]</f>
        <v>21570029.799914856</v>
      </c>
      <c r="Q27" s="4">
        <f>SUM(Table1[[#This Row],[Lymoph%]],Table1[[#This Row],[GT%]],Table1[[#This Row],[FE%]],Table1[[#This Row],[CE%]],Table1[[#This Row],[Neutro%]],Table1[[#This Row],[Basophil%]],Table1[[#This Row],[Monocyte%]])</f>
        <v>4.5977011494252873E-2</v>
      </c>
      <c r="R27" s="2">
        <f>Table1[[#This Row],['[Cells'] c/ml]]*Table1[[#This Row],[wbc%]]</f>
        <v>21977011.494252872</v>
      </c>
      <c r="S27" s="7">
        <f>Table1[[#This Row],['[wbc']]]/Table1[[#This Row],['[Granulocyte']]]</f>
        <v>1.0188679245283019</v>
      </c>
      <c r="T27" s="7">
        <f>Table1[[#This Row],['[Rbc']]]/Table1[[#This Row],['[wbc']]]</f>
        <v>20.055555555555557</v>
      </c>
      <c r="U27" s="1">
        <v>62</v>
      </c>
      <c r="V27" s="4">
        <f>Table1[[#This Row],[Lympho_count]]/Table1[[#This Row],[total count]]</f>
        <v>2.639421030225628E-2</v>
      </c>
      <c r="W27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0.57407407407407407</v>
      </c>
      <c r="X27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0.63917525773195871</v>
      </c>
      <c r="Y27" s="2">
        <f>Table1[[#This Row],['[Cells'] c/ml]]*Table1[[#This Row],[Lymoph%]]</f>
        <v>12616432.524478503</v>
      </c>
      <c r="Z27" s="1">
        <v>75</v>
      </c>
      <c r="AA27" s="4">
        <f>Table1[[#This Row],[Thrombo_count]]/Table1[[#This Row],[total count]]</f>
        <v>3.1928480204342274E-2</v>
      </c>
      <c r="AB27" s="2">
        <f>Table1[[#This Row],['[Cells'] c/ml]]*Table1[[#This Row],[Thrombo%]]</f>
        <v>15261813.537675608</v>
      </c>
      <c r="AC27" s="1">
        <v>11</v>
      </c>
      <c r="AD27" s="4">
        <f>Table1[[#This Row],[GT_count]]/Table1[[#This Row],[total count]]</f>
        <v>4.6828437633035331E-3</v>
      </c>
      <c r="AE27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0.10185185185185185</v>
      </c>
      <c r="AF27" s="2">
        <f>Table1[[#This Row],['[Cells'] c/ml]]*Table1[[#This Row],[GT%]]</f>
        <v>2238399.3188590887</v>
      </c>
      <c r="AG27" s="1">
        <v>10</v>
      </c>
      <c r="AH27" s="4">
        <f>Table1[[#This Row],[FE_count]]/Table1[[#This Row],[total count]]</f>
        <v>4.2571306939123031E-3</v>
      </c>
      <c r="AI27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9.2592592592592587E-2</v>
      </c>
      <c r="AJ27" s="4">
        <f>Table1[[#This Row],[FE_count]]/(Table1[[#This Row],[Lympho_count]]+Table1[[#This Row],[FE_count]]+Table1[[#This Row],[CE_count]]+Table1[[#This Row],[Neutro_count]]+Table1[[#This Row],[Monocyte_count]]+Table1[[#This Row],[Basophil_count]])</f>
        <v>0.10309278350515463</v>
      </c>
      <c r="AK27" s="2">
        <f>Table1[[#This Row],['[Cells'] c/ml]]*Table1[[#This Row],[FE%]]</f>
        <v>2034908.4716900808</v>
      </c>
      <c r="AL27" s="1">
        <v>18</v>
      </c>
      <c r="AM27" s="4">
        <f>Table1[[#This Row],[CE_count]]/Table1[[#This Row],[total count]]</f>
        <v>7.6628352490421452E-3</v>
      </c>
      <c r="AN27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0.16666666666666666</v>
      </c>
      <c r="AO27" s="4">
        <f>Table1[[#This Row],[CE_count]]/(Table1[[#This Row],[Lympho_count]]+Table1[[#This Row],[FE_count]]+Table1[[#This Row],[CE_count]]+Table1[[#This Row],[Neutro_count]]+Table1[[#This Row],[Monocyte_count]]+Table1[[#This Row],[Basophil_count]])</f>
        <v>0.18556701030927836</v>
      </c>
      <c r="AP27" s="2">
        <f>Table1[[#This Row],['[Cells'] c/ml]]*Table1[[#This Row],[CE%]]</f>
        <v>3662835.2490421454</v>
      </c>
      <c r="AQ27" s="1">
        <v>5</v>
      </c>
      <c r="AR27" s="4">
        <f>Table1[[#This Row],[Neutro_count]]/Table1[[#This Row],[total count]]</f>
        <v>2.1285653469561515E-3</v>
      </c>
      <c r="AS27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4.6296296296296294E-2</v>
      </c>
      <c r="AT27" s="4">
        <f>Table1[[#This Row],[Neutro_count]]/(Table1[[#This Row],[Lympho_count]]+Table1[[#This Row],[FE_count]]+Table1[[#This Row],[CE_count]]+Table1[[#This Row],[Neutro_count]]+Table1[[#This Row],[Monocyte_count]]+Table1[[#This Row],[Basophil_count]])</f>
        <v>5.1546391752577317E-2</v>
      </c>
      <c r="AU27" s="2">
        <f>Table1[[#This Row],['[Cells'] c/ml]]*Table1[[#This Row],[Neutro%]]</f>
        <v>1017454.2358450404</v>
      </c>
      <c r="AV27" s="5">
        <v>2</v>
      </c>
      <c r="AW27" s="4">
        <f>Table1[[#This Row],[Monocyte_count]]/Table1[[#This Row],[total count]]</f>
        <v>8.5142613878246064E-4</v>
      </c>
      <c r="AX27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1.8518518518518517E-2</v>
      </c>
      <c r="AY27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2.0618556701030927E-2</v>
      </c>
      <c r="AZ27" s="2">
        <f>Table1[[#This Row],['[Cells'] c/ml]]*Table1[[#This Row],[Monocyte%]]</f>
        <v>406981.69433801621</v>
      </c>
      <c r="BA27" s="1">
        <v>0</v>
      </c>
      <c r="BB27" s="4">
        <f>Table1[[#This Row],[Basophil_count]]/Table1[[#This Row],[total count]]</f>
        <v>0</v>
      </c>
      <c r="BC27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D27" s="4"/>
      <c r="BE27" s="2">
        <f>Table1[[#This Row],['[Cells'] c/ml]]*Table1[[#This Row],[Basophil%]]</f>
        <v>0</v>
      </c>
      <c r="BF27" s="1">
        <v>0</v>
      </c>
      <c r="BG27" s="4">
        <f>Table1[[#This Row],[immature_count]]/Table1[[#This Row],[total count]]</f>
        <v>0</v>
      </c>
      <c r="BH27" s="2">
        <f>Table1[[#This Row],['[Cells'] c/ml]]*Table1[[#This Row],[immature%]]</f>
        <v>0</v>
      </c>
      <c r="BI27" s="1">
        <v>0</v>
      </c>
      <c r="BJ27" s="4">
        <f>Table1[[#This Row],[mitosis_count]]/Table1[[#This Row],[total count]]</f>
        <v>0</v>
      </c>
      <c r="BK27" s="2">
        <f>Table1[[#This Row],['[Cells'] c/ml]]*Table1[[#This Row],[mitosis%]]</f>
        <v>0</v>
      </c>
      <c r="BL27" s="1">
        <v>0</v>
      </c>
      <c r="BM27" s="4">
        <f>Table1[[#This Row],[Abnormal_count]]/Table1[[#This Row],[total count]]</f>
        <v>0</v>
      </c>
      <c r="BN27" s="2">
        <f>Table1[[#This Row],['[Cells'] c/ml]]*Table1[[#This Row],[abnormal%]]</f>
        <v>0</v>
      </c>
    </row>
    <row r="28" spans="1:66" x14ac:dyDescent="0.25">
      <c r="A28" s="1" t="s">
        <v>8</v>
      </c>
      <c r="B28" s="1" t="s">
        <v>14</v>
      </c>
      <c r="C28" s="1" t="s">
        <v>15</v>
      </c>
      <c r="D28" s="1" t="s">
        <v>11</v>
      </c>
      <c r="E28" s="1">
        <v>6</v>
      </c>
      <c r="F28" s="3" t="s">
        <v>16</v>
      </c>
      <c r="G28" s="1" t="s">
        <v>16</v>
      </c>
      <c r="H28" s="2">
        <v>467333333</v>
      </c>
      <c r="I28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2302</v>
      </c>
      <c r="J28" s="1">
        <v>2155</v>
      </c>
      <c r="K28" s="4">
        <f>Table1[[#This Row],[Rbc_count]]/SUM(Table1[[#This Row],[Rbc_count]],Table1[[#This Row],[Thrombo_count]],Table1[[#This Row],[Lympho_count]],Table1[[#This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Row],[mitosis_count]])</f>
        <v>0.93614248479582973</v>
      </c>
      <c r="L28" s="2">
        <f>Table1[[#This Row],['[Cells'] c/ml]]*Table1[[#This Row],[Rbc%]]</f>
        <v>437490587.58253694</v>
      </c>
      <c r="M28" s="4">
        <f>SUM(Table1[[#This Row],[Lymoph%]],Table1[[#This Row],[FE%]],Table1[[#This Row],[GT%]],Table1[[#This Row],[CE%]],Table1[[#This Row],[Neutro%]],Table1[[#This Row],[Basophil%]])</f>
        <v>3.866203301476976E-2</v>
      </c>
      <c r="N28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31.021739130434781</v>
      </c>
      <c r="O28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27.022727272727273</v>
      </c>
      <c r="P28" s="2">
        <f>Table1[[#This Row],['[Cells'] c/ml]]*Table1[[#This Row],[granulocyte%]]</f>
        <v>18068056.749348391</v>
      </c>
      <c r="Q28" s="4">
        <f>SUM(Table1[[#This Row],[Lymoph%]],Table1[[#This Row],[GT%]],Table1[[#This Row],[FE%]],Table1[[#This Row],[CE%]],Table1[[#This Row],[Neutro%]],Table1[[#This Row],[Basophil%]],Table1[[#This Row],[Monocyte%]])</f>
        <v>3.996524761077324E-2</v>
      </c>
      <c r="R28" s="2">
        <f>Table1[[#This Row],['[Cells'] c/ml]]*Table1[[#This Row],[wbc%]]</f>
        <v>18677092.370112944</v>
      </c>
      <c r="S28" s="7">
        <f>Table1[[#This Row],['[wbc']]]/Table1[[#This Row],['[Granulocyte']]]</f>
        <v>1.0337078651685394</v>
      </c>
      <c r="T28" s="7">
        <f>Table1[[#This Row],['[Rbc']]]/Table1[[#This Row],['[wbc']]]</f>
        <v>23.423913043478262</v>
      </c>
      <c r="U28" s="1">
        <v>56</v>
      </c>
      <c r="V28" s="4">
        <f>Table1[[#This Row],[Lympho_count]]/Table1[[#This Row],[total count]]</f>
        <v>2.4326672458731539E-2</v>
      </c>
      <c r="W28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0.60869565217391308</v>
      </c>
      <c r="X28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0.63636363636363635</v>
      </c>
      <c r="Y28" s="2">
        <f>Table1[[#This Row],['[Cells'] c/ml]]*Table1[[#This Row],[Lymoph%]]</f>
        <v>11368664.920938315</v>
      </c>
      <c r="Z28" s="1">
        <v>55</v>
      </c>
      <c r="AA28" s="4">
        <f>Table1[[#This Row],[Thrombo_count]]/Table1[[#This Row],[total count]]</f>
        <v>2.3892267593397045E-2</v>
      </c>
      <c r="AB28" s="2">
        <f>Table1[[#This Row],['[Cells'] c/ml]]*Table1[[#This Row],[Thrombo%]]</f>
        <v>11165653.047350129</v>
      </c>
      <c r="AC28" s="1">
        <v>4</v>
      </c>
      <c r="AD28" s="4">
        <f>Table1[[#This Row],[GT_count]]/Table1[[#This Row],[total count]]</f>
        <v>1.7376194613379669E-3</v>
      </c>
      <c r="AE28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4.3478260869565216E-2</v>
      </c>
      <c r="AF28" s="2">
        <f>Table1[[#This Row],['[Cells'] c/ml]]*Table1[[#This Row],[GT%]]</f>
        <v>812047.49435273674</v>
      </c>
      <c r="AG28" s="1">
        <v>18</v>
      </c>
      <c r="AH28" s="4">
        <f>Table1[[#This Row],[FE_count]]/Table1[[#This Row],[total count]]</f>
        <v>7.819287576020852E-3</v>
      </c>
      <c r="AI28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0.19565217391304349</v>
      </c>
      <c r="AJ28" s="4">
        <f>Table1[[#This Row],[FE_count]]/(Table1[[#This Row],[Lympho_count]]+Table1[[#This Row],[FE_count]]+Table1[[#This Row],[CE_count]]+Table1[[#This Row],[Neutro_count]]+Table1[[#This Row],[Monocyte_count]]+Table1[[#This Row],[Basophil_count]])</f>
        <v>0.20454545454545456</v>
      </c>
      <c r="AK28" s="2">
        <f>Table1[[#This Row],['[Cells'] c/ml]]*Table1[[#This Row],[FE%]]</f>
        <v>3654213.7245873157</v>
      </c>
      <c r="AL28" s="1">
        <v>9</v>
      </c>
      <c r="AM28" s="4">
        <f>Table1[[#This Row],[CE_count]]/Table1[[#This Row],[total count]]</f>
        <v>3.909643788010426E-3</v>
      </c>
      <c r="AN28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9.7826086956521743E-2</v>
      </c>
      <c r="AO28" s="4">
        <f>Table1[[#This Row],[CE_count]]/(Table1[[#This Row],[Lympho_count]]+Table1[[#This Row],[FE_count]]+Table1[[#This Row],[CE_count]]+Table1[[#This Row],[Neutro_count]]+Table1[[#This Row],[Monocyte_count]]+Table1[[#This Row],[Basophil_count]])</f>
        <v>0.10227272727272728</v>
      </c>
      <c r="AP28" s="2">
        <f>Table1[[#This Row],['[Cells'] c/ml]]*Table1[[#This Row],[CE%]]</f>
        <v>1827106.8622936578</v>
      </c>
      <c r="AQ28" s="1">
        <v>2</v>
      </c>
      <c r="AR28" s="4">
        <f>Table1[[#This Row],[Neutro_count]]/Table1[[#This Row],[total count]]</f>
        <v>8.6880973066898344E-4</v>
      </c>
      <c r="AS28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2.1739130434782608E-2</v>
      </c>
      <c r="AT28" s="4">
        <f>Table1[[#This Row],[Neutro_count]]/(Table1[[#This Row],[Lympho_count]]+Table1[[#This Row],[FE_count]]+Table1[[#This Row],[CE_count]]+Table1[[#This Row],[Neutro_count]]+Table1[[#This Row],[Monocyte_count]]+Table1[[#This Row],[Basophil_count]])</f>
        <v>2.2727272727272728E-2</v>
      </c>
      <c r="AU28" s="2">
        <f>Table1[[#This Row],['[Cells'] c/ml]]*Table1[[#This Row],[Neutro%]]</f>
        <v>406023.74717636837</v>
      </c>
      <c r="AV28" s="5">
        <v>3</v>
      </c>
      <c r="AW28" s="4">
        <f>Table1[[#This Row],[Monocyte_count]]/Table1[[#This Row],[total count]]</f>
        <v>1.3032145960034753E-3</v>
      </c>
      <c r="AX28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3.2608695652173912E-2</v>
      </c>
      <c r="AY28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3.4090909090909088E-2</v>
      </c>
      <c r="AZ28" s="2">
        <f>Table1[[#This Row],['[Cells'] c/ml]]*Table1[[#This Row],[Monocyte%]]</f>
        <v>609035.62076455262</v>
      </c>
      <c r="BA28" s="1">
        <v>0</v>
      </c>
      <c r="BB28" s="4">
        <f>Table1[[#This Row],[Basophil_count]]/Table1[[#This Row],[total count]]</f>
        <v>0</v>
      </c>
      <c r="BC28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D28" s="4"/>
      <c r="BE28" s="2">
        <f>Table1[[#This Row],['[Cells'] c/ml]]*Table1[[#This Row],[Basophil%]]</f>
        <v>0</v>
      </c>
      <c r="BF28" s="1">
        <v>0</v>
      </c>
      <c r="BG28" s="4">
        <f>Table1[[#This Row],[immature_count]]/Table1[[#This Row],[total count]]</f>
        <v>0</v>
      </c>
      <c r="BH28" s="2">
        <f>Table1[[#This Row],['[Cells'] c/ml]]*Table1[[#This Row],[immature%]]</f>
        <v>0</v>
      </c>
      <c r="BI28" s="1">
        <v>0</v>
      </c>
      <c r="BJ28" s="4">
        <f>Table1[[#This Row],[mitosis_count]]/Table1[[#This Row],[total count]]</f>
        <v>0</v>
      </c>
      <c r="BK28" s="2">
        <f>Table1[[#This Row],['[Cells'] c/ml]]*Table1[[#This Row],[mitosis%]]</f>
        <v>0</v>
      </c>
      <c r="BL28" s="1">
        <v>0</v>
      </c>
      <c r="BM28" s="4">
        <f>Table1[[#This Row],[Abnormal_count]]/Table1[[#This Row],[total count]]</f>
        <v>0</v>
      </c>
      <c r="BN28" s="2">
        <f>Table1[[#This Row],['[Cells'] c/ml]]*Table1[[#This Row],[abnormal%]]</f>
        <v>0</v>
      </c>
    </row>
    <row r="29" spans="1:66" x14ac:dyDescent="0.25">
      <c r="A29" s="1" t="s">
        <v>8</v>
      </c>
      <c r="B29" s="1" t="s">
        <v>17</v>
      </c>
      <c r="C29" s="1" t="s">
        <v>15</v>
      </c>
      <c r="D29" s="1" t="s">
        <v>11</v>
      </c>
      <c r="E29" s="1">
        <v>6</v>
      </c>
      <c r="F29" s="3" t="s">
        <v>16</v>
      </c>
      <c r="G29" s="1" t="s">
        <v>16</v>
      </c>
      <c r="H29" s="2">
        <v>827500000</v>
      </c>
      <c r="I29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2325</v>
      </c>
      <c r="J29" s="1">
        <v>2163</v>
      </c>
      <c r="K29" s="4">
        <f>Table1[[#This Row],[Rbc_count]]/SUM(Table1[[#This Row],[Rbc_count]],Table1[[#This Row],[Thrombo_count]],Table1[[#This Row],[Lympho_count]],Table1[[#This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Row],[mitosis_count]])</f>
        <v>0.93032258064516127</v>
      </c>
      <c r="L29" s="2">
        <f>Table1[[#This Row],['[Cells'] c/ml]]*Table1[[#This Row],[Rbc%]]</f>
        <v>769841935.48387098</v>
      </c>
      <c r="M29" s="4">
        <f>SUM(Table1[[#This Row],[Lymoph%]],Table1[[#This Row],[FE%]],Table1[[#This Row],[GT%]],Table1[[#This Row],[CE%]],Table1[[#This Row],[Neutro%]],Table1[[#This Row],[Basophil%]])</f>
        <v>4.5161290322580649E-2</v>
      </c>
      <c r="N29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48.045045045045043</v>
      </c>
      <c r="O29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41.04807692307692</v>
      </c>
      <c r="P29" s="2">
        <f>Table1[[#This Row],['[Cells'] c/ml]]*Table1[[#This Row],[granulocyte%]]</f>
        <v>37370967.741935484</v>
      </c>
      <c r="Q29" s="4">
        <f>SUM(Table1[[#This Row],[Lymoph%]],Table1[[#This Row],[GT%]],Table1[[#This Row],[FE%]],Table1[[#This Row],[CE%]],Table1[[#This Row],[Neutro%]],Table1[[#This Row],[Basophil%]],Table1[[#This Row],[Monocyte%]])</f>
        <v>4.7741935483870956E-2</v>
      </c>
      <c r="R29" s="2">
        <f>Table1[[#This Row],['[Cells'] c/ml]]*Table1[[#This Row],[wbc%]]</f>
        <v>39506451.612903215</v>
      </c>
      <c r="S29" s="7">
        <f>Table1[[#This Row],['[wbc']]]/Table1[[#This Row],['[Granulocyte']]]</f>
        <v>1.0571428571428569</v>
      </c>
      <c r="T29" s="7">
        <f>Table1[[#This Row],['[Rbc']]]/Table1[[#This Row],['[wbc']]]</f>
        <v>19.486486486486491</v>
      </c>
      <c r="U29" s="1">
        <v>51</v>
      </c>
      <c r="V29" s="4">
        <f>Table1[[#This Row],[Lympho_count]]/Table1[[#This Row],[total count]]</f>
        <v>2.1935483870967741E-2</v>
      </c>
      <c r="W29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0.45945945945945948</v>
      </c>
      <c r="X29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0.49038461538461536</v>
      </c>
      <c r="Y29" s="2">
        <f>Table1[[#This Row],['[Cells'] c/ml]]*Table1[[#This Row],[Lymoph%]]</f>
        <v>18151612.903225806</v>
      </c>
      <c r="Z29" s="1">
        <v>51</v>
      </c>
      <c r="AA29" s="4">
        <f>Table1[[#This Row],[Thrombo_count]]/Table1[[#This Row],[total count]]</f>
        <v>2.1935483870967741E-2</v>
      </c>
      <c r="AB29" s="2">
        <f>Table1[[#This Row],['[Cells'] c/ml]]*Table1[[#This Row],[Thrombo%]]</f>
        <v>18151612.903225806</v>
      </c>
      <c r="AC29" s="1">
        <v>7</v>
      </c>
      <c r="AD29" s="4">
        <f>Table1[[#This Row],[GT_count]]/Table1[[#This Row],[total count]]</f>
        <v>3.010752688172043E-3</v>
      </c>
      <c r="AE29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6.3063063063063057E-2</v>
      </c>
      <c r="AF29" s="2">
        <f>Table1[[#This Row],['[Cells'] c/ml]]*Table1[[#This Row],[GT%]]</f>
        <v>2491397.8494623657</v>
      </c>
      <c r="AG29" s="1">
        <v>29</v>
      </c>
      <c r="AH29" s="4">
        <f>Table1[[#This Row],[FE_count]]/Table1[[#This Row],[total count]]</f>
        <v>1.2473118279569893E-2</v>
      </c>
      <c r="AI29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0.26126126126126126</v>
      </c>
      <c r="AJ29" s="4">
        <f>Table1[[#This Row],[FE_count]]/(Table1[[#This Row],[Lympho_count]]+Table1[[#This Row],[FE_count]]+Table1[[#This Row],[CE_count]]+Table1[[#This Row],[Neutro_count]]+Table1[[#This Row],[Monocyte_count]]+Table1[[#This Row],[Basophil_count]])</f>
        <v>0.27884615384615385</v>
      </c>
      <c r="AK29" s="2">
        <f>Table1[[#This Row],['[Cells'] c/ml]]*Table1[[#This Row],[FE%]]</f>
        <v>10321505.376344087</v>
      </c>
      <c r="AL29" s="1">
        <v>12</v>
      </c>
      <c r="AM29" s="4">
        <f>Table1[[#This Row],[CE_count]]/Table1[[#This Row],[total count]]</f>
        <v>5.1612903225806452E-3</v>
      </c>
      <c r="AN29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0.10810810810810811</v>
      </c>
      <c r="AO29" s="4">
        <f>Table1[[#This Row],[CE_count]]/(Table1[[#This Row],[Lympho_count]]+Table1[[#This Row],[FE_count]]+Table1[[#This Row],[CE_count]]+Table1[[#This Row],[Neutro_count]]+Table1[[#This Row],[Monocyte_count]]+Table1[[#This Row],[Basophil_count]])</f>
        <v>0.11538461538461539</v>
      </c>
      <c r="AP29" s="2">
        <f>Table1[[#This Row],['[Cells'] c/ml]]*Table1[[#This Row],[CE%]]</f>
        <v>4270967.7419354841</v>
      </c>
      <c r="AQ29" s="1">
        <v>5</v>
      </c>
      <c r="AR29" s="4">
        <f>Table1[[#This Row],[Neutro_count]]/Table1[[#This Row],[total count]]</f>
        <v>2.1505376344086021E-3</v>
      </c>
      <c r="AS29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4.5045045045045043E-2</v>
      </c>
      <c r="AT29" s="4">
        <f>Table1[[#This Row],[Neutro_count]]/(Table1[[#This Row],[Lympho_count]]+Table1[[#This Row],[FE_count]]+Table1[[#This Row],[CE_count]]+Table1[[#This Row],[Neutro_count]]+Table1[[#This Row],[Monocyte_count]]+Table1[[#This Row],[Basophil_count]])</f>
        <v>4.807692307692308E-2</v>
      </c>
      <c r="AU29" s="2">
        <f>Table1[[#This Row],['[Cells'] c/ml]]*Table1[[#This Row],[Neutro%]]</f>
        <v>1779569.8924731184</v>
      </c>
      <c r="AV29" s="5">
        <v>6</v>
      </c>
      <c r="AW29" s="4">
        <f>Table1[[#This Row],[Monocyte_count]]/Table1[[#This Row],[total count]]</f>
        <v>2.5806451612903226E-3</v>
      </c>
      <c r="AX29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5.4054054054054057E-2</v>
      </c>
      <c r="AY29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5.7692307692307696E-2</v>
      </c>
      <c r="AZ29" s="2">
        <f>Table1[[#This Row],['[Cells'] c/ml]]*Table1[[#This Row],[Monocyte%]]</f>
        <v>2135483.8709677421</v>
      </c>
      <c r="BA29" s="1">
        <v>1</v>
      </c>
      <c r="BB29" s="4">
        <f>Table1[[#This Row],[Basophil_count]]/Table1[[#This Row],[total count]]</f>
        <v>4.3010752688172043E-4</v>
      </c>
      <c r="BC29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9.6153846153846159E-3</v>
      </c>
      <c r="BD29" s="4"/>
      <c r="BE29" s="2">
        <f>Table1[[#This Row],['[Cells'] c/ml]]*Table1[[#This Row],[Basophil%]]</f>
        <v>355913.97849462368</v>
      </c>
      <c r="BF29" s="1">
        <v>0</v>
      </c>
      <c r="BG29" s="4">
        <f>Table1[[#This Row],[immature_count]]/Table1[[#This Row],[total count]]</f>
        <v>0</v>
      </c>
      <c r="BH29" s="2">
        <f>Table1[[#This Row],['[Cells'] c/ml]]*Table1[[#This Row],[immature%]]</f>
        <v>0</v>
      </c>
      <c r="BI29" s="1">
        <v>0</v>
      </c>
      <c r="BJ29" s="4">
        <f>Table1[[#This Row],[mitosis_count]]/Table1[[#This Row],[total count]]</f>
        <v>0</v>
      </c>
      <c r="BK29" s="2">
        <f>Table1[[#This Row],['[Cells'] c/ml]]*Table1[[#This Row],[mitosis%]]</f>
        <v>0</v>
      </c>
      <c r="BL29" s="1">
        <v>0</v>
      </c>
      <c r="BM29" s="4">
        <f>Table1[[#This Row],[Abnormal_count]]/Table1[[#This Row],[total count]]</f>
        <v>0</v>
      </c>
      <c r="BN29" s="2">
        <f>Table1[[#This Row],['[Cells'] c/ml]]*Table1[[#This Row],[abnormal%]]</f>
        <v>0</v>
      </c>
    </row>
    <row r="30" spans="1:66" x14ac:dyDescent="0.25">
      <c r="A30" s="1" t="s">
        <v>8</v>
      </c>
      <c r="B30" s="1" t="s">
        <v>18</v>
      </c>
      <c r="C30" s="1" t="s">
        <v>10</v>
      </c>
      <c r="D30" s="1" t="s">
        <v>19</v>
      </c>
      <c r="E30" s="1">
        <v>6</v>
      </c>
      <c r="F30" s="3" t="s">
        <v>12</v>
      </c>
      <c r="G30" s="1">
        <v>1</v>
      </c>
      <c r="H30" s="2">
        <v>531000000</v>
      </c>
      <c r="I30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2220</v>
      </c>
      <c r="J30" s="1">
        <v>2041</v>
      </c>
      <c r="K30" s="4">
        <f>Table1[[#This Row],[Rbc_count]]/SUM(Table1[[#This Row],[Rbc_count]],Table1[[#This Row],[Thrombo_count]],Table1[[#This Row],[Lympho_count]],Table1[[#This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Row],[mitosis_count]])</f>
        <v>0.91936936936936942</v>
      </c>
      <c r="L30" s="2">
        <f>Table1[[#This Row],['[Cells'] c/ml]]*Table1[[#This Row],[Rbc%]]</f>
        <v>488185135.13513517</v>
      </c>
      <c r="M30" s="4">
        <f>SUM(Table1[[#This Row],[Lymoph%]],Table1[[#This Row],[FE%]],Table1[[#This Row],[GT%]],Table1[[#This Row],[CE%]],Table1[[#This Row],[Neutro%]],Table1[[#This Row],[Basophil%]])</f>
        <v>4.7747747747747746E-2</v>
      </c>
      <c r="N30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47.027522935779814</v>
      </c>
      <c r="O30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38.03</v>
      </c>
      <c r="P30" s="2">
        <f>Table1[[#This Row],['[Cells'] c/ml]]*Table1[[#This Row],[granulocyte%]]</f>
        <v>25354054.054054052</v>
      </c>
      <c r="Q30" s="4">
        <f>SUM(Table1[[#This Row],[Lymoph%]],Table1[[#This Row],[GT%]],Table1[[#This Row],[FE%]],Table1[[#This Row],[CE%]],Table1[[#This Row],[Neutro%]],Table1[[#This Row],[Basophil%]],Table1[[#This Row],[Monocyte%]])</f>
        <v>4.9099099099099097E-2</v>
      </c>
      <c r="R30" s="2">
        <f>Table1[[#This Row],['[Cells'] c/ml]]*Table1[[#This Row],[wbc%]]</f>
        <v>26071621.62162162</v>
      </c>
      <c r="S30" s="7">
        <f>Table1[[#This Row],['[wbc']]]/Table1[[#This Row],['[Granulocyte']]]</f>
        <v>1.0283018867924529</v>
      </c>
      <c r="T30" s="7">
        <f>Table1[[#This Row],['[Rbc']]]/Table1[[#This Row],['[wbc']]]</f>
        <v>18.724770642201836</v>
      </c>
      <c r="U30" s="1">
        <v>56</v>
      </c>
      <c r="V30" s="4">
        <f>Table1[[#This Row],[Lympho_count]]/Table1[[#This Row],[total count]]</f>
        <v>2.5225225225225224E-2</v>
      </c>
      <c r="W30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0.51376146788990829</v>
      </c>
      <c r="X30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0.56000000000000005</v>
      </c>
      <c r="Y30" s="2">
        <f>Table1[[#This Row],['[Cells'] c/ml]]*Table1[[#This Row],[Lymoph%]]</f>
        <v>13394594.594594594</v>
      </c>
      <c r="Z30" s="1">
        <v>70</v>
      </c>
      <c r="AA30" s="4">
        <f>Table1[[#This Row],[Thrombo_count]]/Table1[[#This Row],[total count]]</f>
        <v>3.1531531531531529E-2</v>
      </c>
      <c r="AB30" s="2">
        <f>Table1[[#This Row],['[Cells'] c/ml]]*Table1[[#This Row],[Thrombo%]]</f>
        <v>16743243.243243242</v>
      </c>
      <c r="AC30" s="1">
        <v>9</v>
      </c>
      <c r="AD30" s="4">
        <f>Table1[[#This Row],[GT_count]]/Table1[[#This Row],[total count]]</f>
        <v>4.0540540540540543E-3</v>
      </c>
      <c r="AE30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8.2568807339449546E-2</v>
      </c>
      <c r="AF30" s="2">
        <f>Table1[[#This Row],['[Cells'] c/ml]]*Table1[[#This Row],[GT%]]</f>
        <v>2152702.702702703</v>
      </c>
      <c r="AG30" s="1">
        <v>20</v>
      </c>
      <c r="AH30" s="4">
        <f>Table1[[#This Row],[FE_count]]/Table1[[#This Row],[total count]]</f>
        <v>9.0090090090090089E-3</v>
      </c>
      <c r="AI30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0.1834862385321101</v>
      </c>
      <c r="AJ30" s="4">
        <f>Table1[[#This Row],[FE_count]]/(Table1[[#This Row],[Lympho_count]]+Table1[[#This Row],[FE_count]]+Table1[[#This Row],[CE_count]]+Table1[[#This Row],[Neutro_count]]+Table1[[#This Row],[Monocyte_count]]+Table1[[#This Row],[Basophil_count]])</f>
        <v>0.2</v>
      </c>
      <c r="AK30" s="2">
        <f>Table1[[#This Row],['[Cells'] c/ml]]*Table1[[#This Row],[FE%]]</f>
        <v>4783783.7837837841</v>
      </c>
      <c r="AL30" s="1">
        <v>18</v>
      </c>
      <c r="AM30" s="4">
        <f>Table1[[#This Row],[CE_count]]/Table1[[#This Row],[total count]]</f>
        <v>8.1081081081081086E-3</v>
      </c>
      <c r="AN30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0.16513761467889909</v>
      </c>
      <c r="AO30" s="4">
        <f>Table1[[#This Row],[CE_count]]/(Table1[[#This Row],[Lympho_count]]+Table1[[#This Row],[FE_count]]+Table1[[#This Row],[CE_count]]+Table1[[#This Row],[Neutro_count]]+Table1[[#This Row],[Monocyte_count]]+Table1[[#This Row],[Basophil_count]])</f>
        <v>0.18</v>
      </c>
      <c r="AP30" s="2">
        <f>Table1[[#This Row],['[Cells'] c/ml]]*Table1[[#This Row],[CE%]]</f>
        <v>4305405.4054054059</v>
      </c>
      <c r="AQ30" s="1">
        <v>3</v>
      </c>
      <c r="AR30" s="4">
        <f>Table1[[#This Row],[Neutro_count]]/Table1[[#This Row],[total count]]</f>
        <v>1.3513513513513514E-3</v>
      </c>
      <c r="AS30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2.7522935779816515E-2</v>
      </c>
      <c r="AT30" s="4">
        <f>Table1[[#This Row],[Neutro_count]]/(Table1[[#This Row],[Lympho_count]]+Table1[[#This Row],[FE_count]]+Table1[[#This Row],[CE_count]]+Table1[[#This Row],[Neutro_count]]+Table1[[#This Row],[Monocyte_count]]+Table1[[#This Row],[Basophil_count]])</f>
        <v>0.03</v>
      </c>
      <c r="AU30" s="2">
        <f>Table1[[#This Row],['[Cells'] c/ml]]*Table1[[#This Row],[Neutro%]]</f>
        <v>717567.56756756757</v>
      </c>
      <c r="AV30" s="5">
        <v>3</v>
      </c>
      <c r="AW30" s="4">
        <f>Table1[[#This Row],[Monocyte_count]]/Table1[[#This Row],[total count]]</f>
        <v>1.3513513513513514E-3</v>
      </c>
      <c r="AX30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2.7522935779816515E-2</v>
      </c>
      <c r="AY30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0.03</v>
      </c>
      <c r="AZ30" s="2">
        <f>Table1[[#This Row],['[Cells'] c/ml]]*Table1[[#This Row],[Monocyte%]]</f>
        <v>717567.56756756757</v>
      </c>
      <c r="BA30" s="1">
        <v>0</v>
      </c>
      <c r="BB30" s="4">
        <f>Table1[[#This Row],[Basophil_count]]/Table1[[#This Row],[total count]]</f>
        <v>0</v>
      </c>
      <c r="BC30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D30" s="4"/>
      <c r="BE30" s="2">
        <f>Table1[[#This Row],['[Cells'] c/ml]]*Table1[[#This Row],[Basophil%]]</f>
        <v>0</v>
      </c>
      <c r="BF30" s="1">
        <v>0</v>
      </c>
      <c r="BG30" s="4">
        <f>Table1[[#This Row],[immature_count]]/Table1[[#This Row],[total count]]</f>
        <v>0</v>
      </c>
      <c r="BH30" s="2">
        <f>Table1[[#This Row],['[Cells'] c/ml]]*Table1[[#This Row],[immature%]]</f>
        <v>0</v>
      </c>
      <c r="BI30" s="1">
        <v>0</v>
      </c>
      <c r="BJ30" s="4">
        <f>Table1[[#This Row],[mitosis_count]]/Table1[[#This Row],[total count]]</f>
        <v>0</v>
      </c>
      <c r="BK30" s="2">
        <f>Table1[[#This Row],['[Cells'] c/ml]]*Table1[[#This Row],[mitosis%]]</f>
        <v>0</v>
      </c>
      <c r="BL30" s="1">
        <v>0</v>
      </c>
      <c r="BM30" s="4">
        <f>Table1[[#This Row],[Abnormal_count]]/Table1[[#This Row],[total count]]</f>
        <v>0</v>
      </c>
      <c r="BN30" s="2">
        <f>Table1[[#This Row],['[Cells'] c/ml]]*Table1[[#This Row],[abnormal%]]</f>
        <v>0</v>
      </c>
    </row>
    <row r="31" spans="1:66" x14ac:dyDescent="0.25">
      <c r="A31" s="1" t="s">
        <v>8</v>
      </c>
      <c r="B31" s="1" t="s">
        <v>21</v>
      </c>
      <c r="C31" s="1" t="s">
        <v>10</v>
      </c>
      <c r="D31" s="1" t="s">
        <v>19</v>
      </c>
      <c r="E31" s="1">
        <v>6</v>
      </c>
      <c r="F31" s="3" t="s">
        <v>20</v>
      </c>
      <c r="G31" s="1">
        <v>0</v>
      </c>
      <c r="H31" s="2">
        <v>486000000</v>
      </c>
      <c r="I31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2225</v>
      </c>
      <c r="J31" s="1">
        <v>2080</v>
      </c>
      <c r="K31" s="4">
        <f>Table1[[#This Row],[Rbc_count]]/SUM(Table1[[#This Row],[Rbc_count]],Table1[[#This Row],[Thrombo_count]],Table1[[#This Row],[Lympho_count]],Table1[[#This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Row],[mitosis_count]])</f>
        <v>0.93483146067415734</v>
      </c>
      <c r="L31" s="2">
        <f>Table1[[#This Row],['[Cells'] c/ml]]*Table1[[#This Row],[Rbc%]]</f>
        <v>454328089.88764048</v>
      </c>
      <c r="M31" s="4">
        <f>SUM(Table1[[#This Row],[Lymoph%]],Table1[[#This Row],[FE%]],Table1[[#This Row],[GT%]],Table1[[#This Row],[CE%]],Table1[[#This Row],[Neutro%]],Table1[[#This Row],[Basophil%]])</f>
        <v>4.0449438202247182E-2</v>
      </c>
      <c r="N31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40.032258064516128</v>
      </c>
      <c r="O31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27.037500000000001</v>
      </c>
      <c r="P31" s="2">
        <f>Table1[[#This Row],['[Cells'] c/ml]]*Table1[[#This Row],[granulocyte%]]</f>
        <v>19658426.966292132</v>
      </c>
      <c r="Q31" s="4">
        <f>SUM(Table1[[#This Row],[Lymoph%]],Table1[[#This Row],[GT%]],Table1[[#This Row],[FE%]],Table1[[#This Row],[CE%]],Table1[[#This Row],[Neutro%]],Table1[[#This Row],[Basophil%]],Table1[[#This Row],[Monocyte%]])</f>
        <v>4.1797752808988758E-2</v>
      </c>
      <c r="R31" s="2">
        <f>Table1[[#This Row],['[Cells'] c/ml]]*Table1[[#This Row],[wbc%]]</f>
        <v>20313707.865168538</v>
      </c>
      <c r="S31" s="7">
        <f>Table1[[#This Row],['[wbc']]]/Table1[[#This Row],['[Granulocyte']]]</f>
        <v>1.0333333333333334</v>
      </c>
      <c r="T31" s="7">
        <f>Table1[[#This Row],['[Rbc']]]/Table1[[#This Row],['[wbc']]]</f>
        <v>22.365591397849464</v>
      </c>
      <c r="U31" s="1">
        <v>47</v>
      </c>
      <c r="V31" s="4">
        <f>Table1[[#This Row],[Lympho_count]]/Table1[[#This Row],[total count]]</f>
        <v>2.1123595505617977E-2</v>
      </c>
      <c r="W31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0.5053763440860215</v>
      </c>
      <c r="X31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0.58750000000000002</v>
      </c>
      <c r="Y31" s="2">
        <f>Table1[[#This Row],['[Cells'] c/ml]]*Table1[[#This Row],[Lymoph%]]</f>
        <v>10266067.415730337</v>
      </c>
      <c r="Z31" s="1">
        <v>52</v>
      </c>
      <c r="AA31" s="4">
        <f>Table1[[#This Row],[Thrombo_count]]/Table1[[#This Row],[total count]]</f>
        <v>2.3370786516853932E-2</v>
      </c>
      <c r="AB31" s="2">
        <f>Table1[[#This Row],['[Cells'] c/ml]]*Table1[[#This Row],[Thrombo%]]</f>
        <v>11358202.247191012</v>
      </c>
      <c r="AC31" s="1">
        <v>13</v>
      </c>
      <c r="AD31" s="4">
        <f>Table1[[#This Row],[GT_count]]/Table1[[#This Row],[total count]]</f>
        <v>5.8426966292134831E-3</v>
      </c>
      <c r="AE31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0.13978494623655913</v>
      </c>
      <c r="AF31" s="2">
        <f>Table1[[#This Row],['[Cells'] c/ml]]*Table1[[#This Row],[GT%]]</f>
        <v>2839550.561797753</v>
      </c>
      <c r="AG31" s="1">
        <v>14</v>
      </c>
      <c r="AH31" s="4">
        <f>Table1[[#This Row],[FE_count]]/Table1[[#This Row],[total count]]</f>
        <v>6.2921348314606742E-3</v>
      </c>
      <c r="AI31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0.15053763440860216</v>
      </c>
      <c r="AJ31" s="4">
        <f>Table1[[#This Row],[FE_count]]/(Table1[[#This Row],[Lympho_count]]+Table1[[#This Row],[FE_count]]+Table1[[#This Row],[CE_count]]+Table1[[#This Row],[Neutro_count]]+Table1[[#This Row],[Monocyte_count]]+Table1[[#This Row],[Basophil_count]])</f>
        <v>0.17499999999999999</v>
      </c>
      <c r="AK31" s="2">
        <f>Table1[[#This Row],['[Cells'] c/ml]]*Table1[[#This Row],[FE%]]</f>
        <v>3057977.5280898875</v>
      </c>
      <c r="AL31" s="1">
        <v>13</v>
      </c>
      <c r="AM31" s="4">
        <f>Table1[[#This Row],[CE_count]]/Table1[[#This Row],[total count]]</f>
        <v>5.8426966292134831E-3</v>
      </c>
      <c r="AN31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0.13978494623655913</v>
      </c>
      <c r="AO31" s="4">
        <f>Table1[[#This Row],[CE_count]]/(Table1[[#This Row],[Lympho_count]]+Table1[[#This Row],[FE_count]]+Table1[[#This Row],[CE_count]]+Table1[[#This Row],[Neutro_count]]+Table1[[#This Row],[Monocyte_count]]+Table1[[#This Row],[Basophil_count]])</f>
        <v>0.16250000000000001</v>
      </c>
      <c r="AP31" s="2">
        <f>Table1[[#This Row],['[Cells'] c/ml]]*Table1[[#This Row],[CE%]]</f>
        <v>2839550.561797753</v>
      </c>
      <c r="AQ31" s="1">
        <v>3</v>
      </c>
      <c r="AR31" s="4">
        <f>Table1[[#This Row],[Neutro_count]]/Table1[[#This Row],[total count]]</f>
        <v>1.348314606741573E-3</v>
      </c>
      <c r="AS31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3.2258064516129031E-2</v>
      </c>
      <c r="AT31" s="4">
        <f>Table1[[#This Row],[Neutro_count]]/(Table1[[#This Row],[Lympho_count]]+Table1[[#This Row],[FE_count]]+Table1[[#This Row],[CE_count]]+Table1[[#This Row],[Neutro_count]]+Table1[[#This Row],[Monocyte_count]]+Table1[[#This Row],[Basophil_count]])</f>
        <v>3.7499999999999999E-2</v>
      </c>
      <c r="AU31" s="2">
        <f>Table1[[#This Row],['[Cells'] c/ml]]*Table1[[#This Row],[Neutro%]]</f>
        <v>655280.89887640451</v>
      </c>
      <c r="AV31" s="5">
        <v>3</v>
      </c>
      <c r="AW31" s="4">
        <f>Table1[[#This Row],[Monocyte_count]]/Table1[[#This Row],[total count]]</f>
        <v>1.348314606741573E-3</v>
      </c>
      <c r="AX31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3.2258064516129031E-2</v>
      </c>
      <c r="AY31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3.7499999999999999E-2</v>
      </c>
      <c r="AZ31" s="2">
        <f>Table1[[#This Row],['[Cells'] c/ml]]*Table1[[#This Row],[Monocyte%]]</f>
        <v>655280.89887640451</v>
      </c>
      <c r="BA31" s="1">
        <v>0</v>
      </c>
      <c r="BB31" s="4">
        <f>Table1[[#This Row],[Basophil_count]]/Table1[[#This Row],[total count]]</f>
        <v>0</v>
      </c>
      <c r="BC31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D31" s="4"/>
      <c r="BE31" s="2">
        <f>Table1[[#This Row],['[Cells'] c/ml]]*Table1[[#This Row],[Basophil%]]</f>
        <v>0</v>
      </c>
      <c r="BF31" s="1">
        <v>0</v>
      </c>
      <c r="BG31" s="4">
        <f>Table1[[#This Row],[immature_count]]/Table1[[#This Row],[total count]]</f>
        <v>0</v>
      </c>
      <c r="BH31" s="2">
        <f>Table1[[#This Row],['[Cells'] c/ml]]*Table1[[#This Row],[immature%]]</f>
        <v>0</v>
      </c>
      <c r="BI31" s="1">
        <v>0</v>
      </c>
      <c r="BJ31" s="4">
        <f>Table1[[#This Row],[mitosis_count]]/Table1[[#This Row],[total count]]</f>
        <v>0</v>
      </c>
      <c r="BK31" s="2">
        <f>Table1[[#This Row],['[Cells'] c/ml]]*Table1[[#This Row],[mitosis%]]</f>
        <v>0</v>
      </c>
      <c r="BL31" s="1">
        <v>0</v>
      </c>
      <c r="BM31" s="4">
        <f>Table1[[#This Row],[Abnormal_count]]/Table1[[#This Row],[total count]]</f>
        <v>0</v>
      </c>
      <c r="BN31" s="2">
        <f>Table1[[#This Row],['[Cells'] c/ml]]*Table1[[#This Row],[abnormal%]]</f>
        <v>0</v>
      </c>
    </row>
    <row r="32" spans="1:66" x14ac:dyDescent="0.25">
      <c r="A32" s="1" t="s">
        <v>8</v>
      </c>
      <c r="B32" s="1" t="s">
        <v>22</v>
      </c>
      <c r="C32" s="1" t="s">
        <v>15</v>
      </c>
      <c r="D32" s="1" t="s">
        <v>19</v>
      </c>
      <c r="E32" s="1">
        <v>6</v>
      </c>
      <c r="F32" s="3" t="s">
        <v>16</v>
      </c>
      <c r="G32" s="1" t="s">
        <v>16</v>
      </c>
      <c r="H32" s="2">
        <v>484000000</v>
      </c>
      <c r="I32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2158</v>
      </c>
      <c r="J32" s="1">
        <v>2030</v>
      </c>
      <c r="K32" s="4">
        <f>Table1[[#This Row],[Rbc_count]]/SUM(Table1[[#This Row],[Rbc_count]],Table1[[#This Row],[Thrombo_count]],Table1[[#This Row],[Lympho_count]],Table1[[#This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Row],[mitosis_count]])</f>
        <v>0.94068582020389246</v>
      </c>
      <c r="L32" s="2">
        <f>Table1[[#This Row],['[Cells'] c/ml]]*Table1[[#This Row],[Rbc%]]</f>
        <v>455291936.97868395</v>
      </c>
      <c r="M32" s="4">
        <f>SUM(Table1[[#This Row],[Lymoph%]],Table1[[#This Row],[FE%]],Table1[[#This Row],[GT%]],Table1[[#This Row],[CE%]],Table1[[#This Row],[Neutro%]],Table1[[#This Row],[Basophil%]])</f>
        <v>3.9851714550509731E-2</v>
      </c>
      <c r="N32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30.067415730337078</v>
      </c>
      <c r="O32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29.068181818181817</v>
      </c>
      <c r="P32" s="2">
        <f>Table1[[#This Row],['[Cells'] c/ml]]*Table1[[#This Row],[granulocyte%]]</f>
        <v>19288229.842446711</v>
      </c>
      <c r="Q32" s="4">
        <f>SUM(Table1[[#This Row],[Lymoph%]],Table1[[#This Row],[GT%]],Table1[[#This Row],[FE%]],Table1[[#This Row],[CE%]],Table1[[#This Row],[Neutro%]],Table1[[#This Row],[Basophil%]],Table1[[#This Row],[Monocyte%]])</f>
        <v>4.1241890639480999E-2</v>
      </c>
      <c r="R32" s="2">
        <f>Table1[[#This Row],['[Cells'] c/ml]]*Table1[[#This Row],[wbc%]]</f>
        <v>19961075.069508802</v>
      </c>
      <c r="S32" s="7">
        <f>Table1[[#This Row],['[wbc']]]/Table1[[#This Row],['[Granulocyte']]]</f>
        <v>1.0348837209302324</v>
      </c>
      <c r="T32" s="7">
        <f>Table1[[#This Row],['[Rbc']]]/Table1[[#This Row],['[wbc']]]</f>
        <v>22.808988764044944</v>
      </c>
      <c r="U32" s="1">
        <v>50</v>
      </c>
      <c r="V32" s="4">
        <f>Table1[[#This Row],[Lympho_count]]/Table1[[#This Row],[total count]]</f>
        <v>2.3169601482854494E-2</v>
      </c>
      <c r="W32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0.5617977528089888</v>
      </c>
      <c r="X32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0.56818181818181823</v>
      </c>
      <c r="Y32" s="2">
        <f>Table1[[#This Row],['[Cells'] c/ml]]*Table1[[#This Row],[Lymoph%]]</f>
        <v>11214087.117701575</v>
      </c>
      <c r="Z32" s="1">
        <v>39</v>
      </c>
      <c r="AA32" s="4">
        <f>Table1[[#This Row],[Thrombo_count]]/Table1[[#This Row],[total count]]</f>
        <v>1.8072289156626505E-2</v>
      </c>
      <c r="AB32" s="2">
        <f>Table1[[#This Row],['[Cells'] c/ml]]*Table1[[#This Row],[Thrombo%]]</f>
        <v>8746987.9518072288</v>
      </c>
      <c r="AC32" s="1">
        <v>1</v>
      </c>
      <c r="AD32" s="4">
        <f>Table1[[#This Row],[GT_count]]/Table1[[#This Row],[total count]]</f>
        <v>4.6339202965708991E-4</v>
      </c>
      <c r="AE32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1.1235955056179775E-2</v>
      </c>
      <c r="AF32" s="2">
        <f>Table1[[#This Row],['[Cells'] c/ml]]*Table1[[#This Row],[GT%]]</f>
        <v>224281.74235403151</v>
      </c>
      <c r="AG32" s="1">
        <v>10</v>
      </c>
      <c r="AH32" s="4">
        <f>Table1[[#This Row],[FE_count]]/Table1[[#This Row],[total count]]</f>
        <v>4.6339202965708986E-3</v>
      </c>
      <c r="AI32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0.11235955056179775</v>
      </c>
      <c r="AJ32" s="4">
        <f>Table1[[#This Row],[FE_count]]/(Table1[[#This Row],[Lympho_count]]+Table1[[#This Row],[FE_count]]+Table1[[#This Row],[CE_count]]+Table1[[#This Row],[Neutro_count]]+Table1[[#This Row],[Monocyte_count]]+Table1[[#This Row],[Basophil_count]])</f>
        <v>0.11363636363636363</v>
      </c>
      <c r="AK32" s="2">
        <f>Table1[[#This Row],['[Cells'] c/ml]]*Table1[[#This Row],[FE%]]</f>
        <v>2242817.4235403151</v>
      </c>
      <c r="AL32" s="1">
        <v>19</v>
      </c>
      <c r="AM32" s="4">
        <f>Table1[[#This Row],[CE_count]]/Table1[[#This Row],[total count]]</f>
        <v>8.804448563484708E-3</v>
      </c>
      <c r="AN32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0.21348314606741572</v>
      </c>
      <c r="AO32" s="4">
        <f>Table1[[#This Row],[CE_count]]/(Table1[[#This Row],[Lympho_count]]+Table1[[#This Row],[FE_count]]+Table1[[#This Row],[CE_count]]+Table1[[#This Row],[Neutro_count]]+Table1[[#This Row],[Monocyte_count]]+Table1[[#This Row],[Basophil_count]])</f>
        <v>0.21590909090909091</v>
      </c>
      <c r="AP32" s="2">
        <f>Table1[[#This Row],['[Cells'] c/ml]]*Table1[[#This Row],[CE%]]</f>
        <v>4261353.1047265986</v>
      </c>
      <c r="AQ32" s="1">
        <v>6</v>
      </c>
      <c r="AR32" s="4">
        <f>Table1[[#This Row],[Neutro_count]]/Table1[[#This Row],[total count]]</f>
        <v>2.7803521779425394E-3</v>
      </c>
      <c r="AS32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6.741573033707865E-2</v>
      </c>
      <c r="AT32" s="4">
        <f>Table1[[#This Row],[Neutro_count]]/(Table1[[#This Row],[Lympho_count]]+Table1[[#This Row],[FE_count]]+Table1[[#This Row],[CE_count]]+Table1[[#This Row],[Neutro_count]]+Table1[[#This Row],[Monocyte_count]]+Table1[[#This Row],[Basophil_count]])</f>
        <v>6.8181818181818177E-2</v>
      </c>
      <c r="AU32" s="2">
        <f>Table1[[#This Row],['[Cells'] c/ml]]*Table1[[#This Row],[Neutro%]]</f>
        <v>1345690.454124189</v>
      </c>
      <c r="AV32" s="5">
        <v>3</v>
      </c>
      <c r="AW32" s="4">
        <f>Table1[[#This Row],[Monocyte_count]]/Table1[[#This Row],[total count]]</f>
        <v>1.3901760889712697E-3</v>
      </c>
      <c r="AX32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3.3707865168539325E-2</v>
      </c>
      <c r="AY32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3.4090909090909088E-2</v>
      </c>
      <c r="AZ32" s="2">
        <f>Table1[[#This Row],['[Cells'] c/ml]]*Table1[[#This Row],[Monocyte%]]</f>
        <v>672845.22706209449</v>
      </c>
      <c r="BA32" s="1">
        <v>0</v>
      </c>
      <c r="BB32" s="4">
        <f>Table1[[#This Row],[Basophil_count]]/Table1[[#This Row],[total count]]</f>
        <v>0</v>
      </c>
      <c r="BC32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D32" s="4"/>
      <c r="BE32" s="2">
        <f>Table1[[#This Row],['[Cells'] c/ml]]*Table1[[#This Row],[Basophil%]]</f>
        <v>0</v>
      </c>
      <c r="BF32" s="1">
        <v>0</v>
      </c>
      <c r="BG32" s="4">
        <f>Table1[[#This Row],[immature_count]]/Table1[[#This Row],[total count]]</f>
        <v>0</v>
      </c>
      <c r="BH32" s="2">
        <f>Table1[[#This Row],['[Cells'] c/ml]]*Table1[[#This Row],[immature%]]</f>
        <v>0</v>
      </c>
      <c r="BI32" s="1">
        <v>0</v>
      </c>
      <c r="BJ32" s="4">
        <f>Table1[[#This Row],[mitosis_count]]/Table1[[#This Row],[total count]]</f>
        <v>0</v>
      </c>
      <c r="BK32" s="2">
        <f>Table1[[#This Row],['[Cells'] c/ml]]*Table1[[#This Row],[mitosis%]]</f>
        <v>0</v>
      </c>
      <c r="BL32" s="1">
        <v>0</v>
      </c>
      <c r="BM32" s="4">
        <f>Table1[[#This Row],[Abnormal_count]]/Table1[[#This Row],[total count]]</f>
        <v>0</v>
      </c>
      <c r="BN32" s="2">
        <f>Table1[[#This Row],['[Cells'] c/ml]]*Table1[[#This Row],[abnormal%]]</f>
        <v>0</v>
      </c>
    </row>
    <row r="33" spans="1:66" x14ac:dyDescent="0.25">
      <c r="A33" s="1" t="s">
        <v>8</v>
      </c>
      <c r="B33" s="1" t="s">
        <v>23</v>
      </c>
      <c r="C33" s="1" t="s">
        <v>15</v>
      </c>
      <c r="D33" s="1" t="s">
        <v>19</v>
      </c>
      <c r="E33" s="1">
        <v>6</v>
      </c>
      <c r="F33" s="3" t="s">
        <v>16</v>
      </c>
      <c r="G33" s="1" t="s">
        <v>16</v>
      </c>
      <c r="H33" s="2">
        <v>633600000</v>
      </c>
      <c r="I33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2183</v>
      </c>
      <c r="J33" s="1">
        <v>2011</v>
      </c>
      <c r="K33" s="4">
        <f>Table1[[#This Row],[Rbc_count]]/SUM(Table1[[#This Row],[Rbc_count]],Table1[[#This Row],[Thrombo_count]],Table1[[#This Row],[Lympho_count]],Table1[[#This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Row],[mitosis_count]])</f>
        <v>0.92163153070577453</v>
      </c>
      <c r="L33" s="2">
        <f>Table1[[#This Row],['[Cells'] c/ml]]*Table1[[#This Row],[Rbc%]]</f>
        <v>583945737.85517871</v>
      </c>
      <c r="M33" s="4">
        <f>SUM(Table1[[#This Row],[Lymoph%]],Table1[[#This Row],[FE%]],Table1[[#This Row],[GT%]],Table1[[#This Row],[CE%]],Table1[[#This Row],[Neutro%]],Table1[[#This Row],[Basophil%]])</f>
        <v>4.7640861200183231E-2</v>
      </c>
      <c r="N33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47.064220183486242</v>
      </c>
      <c r="O33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38.07</v>
      </c>
      <c r="P33" s="2">
        <f>Table1[[#This Row],['[Cells'] c/ml]]*Table1[[#This Row],[granulocyte%]]</f>
        <v>30185249.656436093</v>
      </c>
      <c r="Q33" s="4">
        <f>SUM(Table1[[#This Row],[Lymoph%]],Table1[[#This Row],[GT%]],Table1[[#This Row],[FE%]],Table1[[#This Row],[CE%]],Table1[[#This Row],[Neutro%]],Table1[[#This Row],[Basophil%]],Table1[[#This Row],[Monocyte%]])</f>
        <v>4.9931287219422811E-2</v>
      </c>
      <c r="R33" s="2">
        <f>Table1[[#This Row],['[Cells'] c/ml]]*Table1[[#This Row],[wbc%]]</f>
        <v>31636463.582226291</v>
      </c>
      <c r="S33" s="7">
        <f>Table1[[#This Row],['[wbc']]]/Table1[[#This Row],['[Granulocyte']]]</f>
        <v>1.0480769230769231</v>
      </c>
      <c r="T33" s="7">
        <f>Table1[[#This Row],['[Rbc']]]/Table1[[#This Row],['[wbc']]]</f>
        <v>18.45799661954776</v>
      </c>
      <c r="U33" s="1">
        <v>48</v>
      </c>
      <c r="V33" s="4">
        <f>Table1[[#This Row],[Lympho_count]]/Table1[[#This Row],[total count]]</f>
        <v>2.1988089784699953E-2</v>
      </c>
      <c r="W33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0.44036697247706424</v>
      </c>
      <c r="X33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0.48</v>
      </c>
      <c r="Y33" s="2">
        <f>Table1[[#This Row],['[Cells'] c/ml]]*Table1[[#This Row],[Lymoph%]]</f>
        <v>13931653.68758589</v>
      </c>
      <c r="Z33" s="1">
        <v>62</v>
      </c>
      <c r="AA33" s="4">
        <f>Table1[[#This Row],[Thrombo_count]]/Table1[[#This Row],[total count]]</f>
        <v>2.8401282638570773E-2</v>
      </c>
      <c r="AB33" s="2">
        <f>Table1[[#This Row],['[Cells'] c/ml]]*Table1[[#This Row],[Thrombo%]]</f>
        <v>17995052.679798443</v>
      </c>
      <c r="AC33" s="1">
        <v>9</v>
      </c>
      <c r="AD33" s="4">
        <f>Table1[[#This Row],[GT_count]]/Table1[[#This Row],[total count]]</f>
        <v>4.1227668346312417E-3</v>
      </c>
      <c r="AE33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8.2568807339449546E-2</v>
      </c>
      <c r="AF33" s="2">
        <f>Table1[[#This Row],['[Cells'] c/ml]]*Table1[[#This Row],[GT%]]</f>
        <v>2612185.0664223549</v>
      </c>
      <c r="AG33" s="1">
        <v>25</v>
      </c>
      <c r="AH33" s="4">
        <f>Table1[[#This Row],[FE_count]]/Table1[[#This Row],[total count]]</f>
        <v>1.1452130096197893E-2</v>
      </c>
      <c r="AI33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0.22935779816513763</v>
      </c>
      <c r="AJ33" s="4">
        <f>Table1[[#This Row],[FE_count]]/(Table1[[#This Row],[Lympho_count]]+Table1[[#This Row],[FE_count]]+Table1[[#This Row],[CE_count]]+Table1[[#This Row],[Neutro_count]]+Table1[[#This Row],[Monocyte_count]]+Table1[[#This Row],[Basophil_count]])</f>
        <v>0.25</v>
      </c>
      <c r="AK33" s="2">
        <f>Table1[[#This Row],['[Cells'] c/ml]]*Table1[[#This Row],[FE%]]</f>
        <v>7256069.6289509851</v>
      </c>
      <c r="AL33" s="1">
        <v>13</v>
      </c>
      <c r="AM33" s="4">
        <f>Table1[[#This Row],[CE_count]]/Table1[[#This Row],[total count]]</f>
        <v>5.9551076500229038E-3</v>
      </c>
      <c r="AN33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0.11926605504587157</v>
      </c>
      <c r="AO33" s="4">
        <f>Table1[[#This Row],[CE_count]]/(Table1[[#This Row],[Lympho_count]]+Table1[[#This Row],[FE_count]]+Table1[[#This Row],[CE_count]]+Table1[[#This Row],[Neutro_count]]+Table1[[#This Row],[Monocyte_count]]+Table1[[#This Row],[Basophil_count]])</f>
        <v>0.13</v>
      </c>
      <c r="AP33" s="2">
        <f>Table1[[#This Row],['[Cells'] c/ml]]*Table1[[#This Row],[CE%]]</f>
        <v>3773156.2070545116</v>
      </c>
      <c r="AQ33" s="1">
        <v>7</v>
      </c>
      <c r="AR33" s="4">
        <f>Table1[[#This Row],[Neutro_count]]/Table1[[#This Row],[total count]]</f>
        <v>3.2065964269354101E-3</v>
      </c>
      <c r="AS33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6.4220183486238536E-2</v>
      </c>
      <c r="AT33" s="4">
        <f>Table1[[#This Row],[Neutro_count]]/(Table1[[#This Row],[Lympho_count]]+Table1[[#This Row],[FE_count]]+Table1[[#This Row],[CE_count]]+Table1[[#This Row],[Neutro_count]]+Table1[[#This Row],[Monocyte_count]]+Table1[[#This Row],[Basophil_count]])</f>
        <v>7.0000000000000007E-2</v>
      </c>
      <c r="AU33" s="2">
        <f>Table1[[#This Row],['[Cells'] c/ml]]*Table1[[#This Row],[Neutro%]]</f>
        <v>2031699.4961062758</v>
      </c>
      <c r="AV33" s="5">
        <v>5</v>
      </c>
      <c r="AW33" s="4">
        <f>Table1[[#This Row],[Monocyte_count]]/Table1[[#This Row],[total count]]</f>
        <v>2.2904260192395786E-3</v>
      </c>
      <c r="AX33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4.5871559633027525E-2</v>
      </c>
      <c r="AY33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0.05</v>
      </c>
      <c r="AZ33" s="2">
        <f>Table1[[#This Row],['[Cells'] c/ml]]*Table1[[#This Row],[Monocyte%]]</f>
        <v>1451213.925790197</v>
      </c>
      <c r="BA33" s="1">
        <v>2</v>
      </c>
      <c r="BB33" s="4">
        <f>Table1[[#This Row],[Basophil_count]]/Table1[[#This Row],[total count]]</f>
        <v>9.1617040769583142E-4</v>
      </c>
      <c r="BC33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0.02</v>
      </c>
      <c r="BD33" s="4"/>
      <c r="BE33" s="2">
        <f>Table1[[#This Row],['[Cells'] c/ml]]*Table1[[#This Row],[Basophil%]]</f>
        <v>580485.57031607884</v>
      </c>
      <c r="BF33" s="1">
        <v>0</v>
      </c>
      <c r="BG33" s="4">
        <f>Table1[[#This Row],[immature_count]]/Table1[[#This Row],[total count]]</f>
        <v>0</v>
      </c>
      <c r="BH33" s="2">
        <f>Table1[[#This Row],['[Cells'] c/ml]]*Table1[[#This Row],[immature%]]</f>
        <v>0</v>
      </c>
      <c r="BI33" s="1">
        <v>0</v>
      </c>
      <c r="BJ33" s="4">
        <f>Table1[[#This Row],[mitosis_count]]/Table1[[#This Row],[total count]]</f>
        <v>0</v>
      </c>
      <c r="BK33" s="2">
        <f>Table1[[#This Row],['[Cells'] c/ml]]*Table1[[#This Row],[mitosis%]]</f>
        <v>0</v>
      </c>
      <c r="BL33" s="1">
        <v>1</v>
      </c>
      <c r="BM33" s="4">
        <f>Table1[[#This Row],[Abnormal_count]]/Table1[[#This Row],[total count]]</f>
        <v>4.5808520384791571E-4</v>
      </c>
      <c r="BN33" s="2">
        <f>Table1[[#This Row],['[Cells'] c/ml]]*Table1[[#This Row],[abnormal%]]</f>
        <v>290242.78515803942</v>
      </c>
    </row>
    <row r="34" spans="1:66" x14ac:dyDescent="0.25">
      <c r="H34" s="2"/>
      <c r="K34" s="4"/>
      <c r="L34" s="2"/>
      <c r="M34" s="4"/>
      <c r="O34" s="7"/>
      <c r="P34" s="2"/>
      <c r="R34" s="2"/>
      <c r="V34" s="4"/>
      <c r="W34" s="4"/>
      <c r="X34" s="4"/>
      <c r="Y34" s="2"/>
      <c r="AA34" s="4"/>
      <c r="AB34" s="2"/>
      <c r="AD34" s="4"/>
      <c r="AE34" s="4"/>
      <c r="AF34" s="2"/>
      <c r="AH34" s="4"/>
      <c r="AI34" s="4"/>
      <c r="AJ34" s="4"/>
      <c r="AK34" s="2"/>
      <c r="AM34" s="4"/>
      <c r="AN34" s="4"/>
      <c r="AO34" s="4"/>
      <c r="AP34" s="2"/>
      <c r="AR34" s="4"/>
      <c r="AS34" s="4"/>
      <c r="AT34" s="4"/>
      <c r="AU34" s="2"/>
      <c r="AV34" s="5"/>
      <c r="AW34" s="4"/>
      <c r="AX34" s="4"/>
      <c r="AY34" s="4"/>
      <c r="AZ34" s="2"/>
      <c r="BA34" s="1"/>
      <c r="BB34" s="4"/>
      <c r="BC34" s="4"/>
      <c r="BD34" s="4"/>
      <c r="BE34" s="2"/>
      <c r="BF34" s="1"/>
      <c r="BG34" s="4"/>
      <c r="BH34" s="2"/>
      <c r="BI34" s="1"/>
      <c r="BJ34" s="4"/>
      <c r="BK34" s="2"/>
      <c r="BM34" s="4"/>
      <c r="BN34" s="2"/>
    </row>
    <row r="35" spans="1:66" ht="30" x14ac:dyDescent="0.25">
      <c r="A35" s="1" t="s">
        <v>104</v>
      </c>
      <c r="B35" s="1" t="s">
        <v>24</v>
      </c>
      <c r="C35" s="1" t="s">
        <v>10</v>
      </c>
      <c r="D35" s="1" t="s">
        <v>25</v>
      </c>
      <c r="E35" s="1">
        <v>6</v>
      </c>
      <c r="F35" s="3" t="s">
        <v>20</v>
      </c>
      <c r="G35" s="1" t="s">
        <v>44</v>
      </c>
      <c r="H35" s="2">
        <v>231750000</v>
      </c>
      <c r="I35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2206</v>
      </c>
      <c r="J35" s="1">
        <v>2110</v>
      </c>
      <c r="K35" s="4">
        <f t="shared" ref="K35:K41" si="2">J35/SUM(J35+U35,Z35,AC35,AG35,AL35,AQ35,BA35,BF35,BI35)</f>
        <v>0.95648232094288299</v>
      </c>
      <c r="L35" s="2">
        <f>Table1[[#This Row],['[Cells'] c/ml]]*Table1[[#This Row],[Rbc%]]</f>
        <v>221664777.87851313</v>
      </c>
      <c r="M35" s="4">
        <f>SUM(Table1[[#This Row],[Lymoph%]],Table1[[#This Row],[FE%]],Table1[[#This Row],[GT%]],Table1[[#This Row],[CE%]],Table1[[#This Row],[Neutro%]],Table1[[#This Row],[Basophil%]])</f>
        <v>2.357207615593835E-2</v>
      </c>
      <c r="N35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16.057692307692307</v>
      </c>
      <c r="O35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14.06</v>
      </c>
      <c r="P35" s="2">
        <f>Table1[[#This Row],['[Cells'] c/ml]]*Table1[[#This Row],[granulocyte%]]</f>
        <v>5462828.6491387123</v>
      </c>
      <c r="Q35" s="4">
        <f>SUM(Table1[[#This Row],[Lymoph%]],Table1[[#This Row],[GT%]],Table1[[#This Row],[FE%]],Table1[[#This Row],[CE%]],Table1[[#This Row],[Neutro%]],Table1[[#This Row],[Basophil%]],Table1[[#This Row],[Monocyte%]])</f>
        <v>2.357207615593835E-2</v>
      </c>
      <c r="R35" s="2">
        <f>Table1[[#This Row],['[Cells'] c/ml]]*Table1[[#This Row],[wbc%]]</f>
        <v>5462828.6491387123</v>
      </c>
      <c r="S35" s="7">
        <f>Table1[[#This Row],['[wbc']]]/Table1[[#This Row],['[Granulocyte']]]</f>
        <v>1</v>
      </c>
      <c r="T35" s="7">
        <f>Table1[[#This Row],['[Rbc']]]/Table1[[#This Row],['[wbc']]]</f>
        <v>40.576923076923073</v>
      </c>
      <c r="U35" s="1">
        <v>33</v>
      </c>
      <c r="V35" s="4">
        <f>Table1[[#This Row],[Lympho_count]]/Table1[[#This Row],[total count]]</f>
        <v>1.4959202175883953E-2</v>
      </c>
      <c r="W35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0.63461538461538458</v>
      </c>
      <c r="X35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0.66</v>
      </c>
      <c r="Y35" s="2">
        <f>Table1[[#This Row],['[Cells'] c/ml]]*Table1[[#This Row],[Lymoph%]]</f>
        <v>3466795.1042611059</v>
      </c>
      <c r="Z35" s="1">
        <v>43</v>
      </c>
      <c r="AA35" s="4">
        <f>Table1[[#This Row],[Thrombo_count]]/Table1[[#This Row],[total count]]</f>
        <v>1.9492293744333637E-2</v>
      </c>
      <c r="AB35" s="2">
        <f>Table1[[#This Row],['[Cells'] c/ml]]*Table1[[#This Row],[Thrombo%]]</f>
        <v>4517339.0752493208</v>
      </c>
      <c r="AC35" s="1">
        <v>2</v>
      </c>
      <c r="AD35" s="4">
        <f>Table1[[#This Row],[GT_count]]/Table1[[#This Row],[total count]]</f>
        <v>9.0661831368993653E-4</v>
      </c>
      <c r="AE35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3.8461538461538464E-2</v>
      </c>
      <c r="AF35" s="2">
        <f>Table1[[#This Row],['[Cells'] c/ml]]*Table1[[#This Row],[GT%]]</f>
        <v>210108.7941976428</v>
      </c>
      <c r="AG35" s="1">
        <v>5</v>
      </c>
      <c r="AH35" s="4">
        <f>Table1[[#This Row],[FE_count]]/Table1[[#This Row],[total count]]</f>
        <v>2.2665457842248413E-3</v>
      </c>
      <c r="AI35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9.6153846153846159E-2</v>
      </c>
      <c r="AJ35" s="4">
        <f>Table1[[#This Row],[FE_count]]/(Table1[[#This Row],[Lympho_count]]+Table1[[#This Row],[FE_count]]+Table1[[#This Row],[CE_count]]+Table1[[#This Row],[Neutro_count]]+Table1[[#This Row],[Monocyte_count]]+Table1[[#This Row],[Basophil_count]])</f>
        <v>0.1</v>
      </c>
      <c r="AK35" s="2">
        <f>Table1[[#This Row],['[Cells'] c/ml]]*Table1[[#This Row],[FE%]]</f>
        <v>525271.98549410701</v>
      </c>
      <c r="AL35" s="1">
        <v>9</v>
      </c>
      <c r="AM35" s="4">
        <f>Table1[[#This Row],[CE_count]]/Table1[[#This Row],[total count]]</f>
        <v>4.0797824116047144E-3</v>
      </c>
      <c r="AN35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0.17307692307692307</v>
      </c>
      <c r="AO35" s="4">
        <f>Table1[[#This Row],[CE_count]]/(Table1[[#This Row],[Lympho_count]]+Table1[[#This Row],[FE_count]]+Table1[[#This Row],[CE_count]]+Table1[[#This Row],[Neutro_count]]+Table1[[#This Row],[Monocyte_count]]+Table1[[#This Row],[Basophil_count]])</f>
        <v>0.18</v>
      </c>
      <c r="AP35" s="2">
        <f>Table1[[#This Row],['[Cells'] c/ml]]*Table1[[#This Row],[CE%]]</f>
        <v>945489.57388939254</v>
      </c>
      <c r="AQ35" s="1">
        <v>3</v>
      </c>
      <c r="AR35" s="4">
        <f>Table1[[#This Row],[Neutro_count]]/Table1[[#This Row],[total count]]</f>
        <v>1.3599274705349048E-3</v>
      </c>
      <c r="AS35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5.7692307692307696E-2</v>
      </c>
      <c r="AT35" s="4">
        <f>Table1[[#This Row],[Neutro_count]]/(Table1[[#This Row],[Lympho_count]]+Table1[[#This Row],[FE_count]]+Table1[[#This Row],[CE_count]]+Table1[[#This Row],[Neutro_count]]+Table1[[#This Row],[Monocyte_count]]+Table1[[#This Row],[Basophil_count]])</f>
        <v>0.06</v>
      </c>
      <c r="AU35" s="2">
        <f>Table1[[#This Row],['[Cells'] c/ml]]*Table1[[#This Row],[Neutro%]]</f>
        <v>315163.19129646418</v>
      </c>
      <c r="AV35" s="5">
        <v>0</v>
      </c>
      <c r="AW35" s="4">
        <f>Table1[[#This Row],[Monocyte_count]]/Table1[[#This Row],[total count]]</f>
        <v>0</v>
      </c>
      <c r="AX35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0</v>
      </c>
      <c r="AY35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0</v>
      </c>
      <c r="AZ35" s="2">
        <f>Table1[[#This Row],['[Cells'] c/ml]]*Table1[[#This Row],[Monocyte%]]</f>
        <v>0</v>
      </c>
      <c r="BA35" s="1">
        <v>0</v>
      </c>
      <c r="BB35" s="4">
        <f>Table1[[#This Row],[Basophil_count]]/Table1[[#This Row],[total count]]</f>
        <v>0</v>
      </c>
      <c r="BC35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D35" s="4"/>
      <c r="BE35" s="2">
        <f>Table1[[#This Row],['[Cells'] c/ml]]*Table1[[#This Row],[Basophil%]]</f>
        <v>0</v>
      </c>
      <c r="BF35" s="1">
        <v>1</v>
      </c>
      <c r="BG35" s="4">
        <f>Table1[[#This Row],[immature_count]]/Table1[[#This Row],[total count]]</f>
        <v>4.5330915684496827E-4</v>
      </c>
      <c r="BH35" s="2">
        <f>Table1[[#This Row],['[Cells'] c/ml]]*Table1[[#This Row],[immature%]]</f>
        <v>105054.3970988214</v>
      </c>
      <c r="BI35" s="1">
        <v>0</v>
      </c>
      <c r="BJ35" s="4">
        <f>Table1[[#This Row],[mitosis_count]]/Table1[[#This Row],[total count]]</f>
        <v>0</v>
      </c>
      <c r="BK35" s="2">
        <f>Table1[[#This Row],['[Cells'] c/ml]]*Table1[[#This Row],[mitosis%]]</f>
        <v>0</v>
      </c>
      <c r="BL35" s="1">
        <v>0</v>
      </c>
      <c r="BM35" s="4">
        <f>Table1[[#This Row],[Abnormal_count]]/Table1[[#This Row],[total count]]</f>
        <v>0</v>
      </c>
      <c r="BN35" s="2">
        <f>Table1[[#This Row],['[Cells'] c/ml]]*Table1[[#This Row],[abnormal%]]</f>
        <v>0</v>
      </c>
    </row>
    <row r="36" spans="1:66" x14ac:dyDescent="0.25">
      <c r="A36" s="1" t="s">
        <v>104</v>
      </c>
      <c r="B36" s="1" t="s">
        <v>26</v>
      </c>
      <c r="C36" s="1" t="s">
        <v>10</v>
      </c>
      <c r="D36" s="1" t="s">
        <v>25</v>
      </c>
      <c r="E36" s="1">
        <v>6</v>
      </c>
      <c r="F36" s="3" t="s">
        <v>12</v>
      </c>
      <c r="G36" s="1">
        <v>1</v>
      </c>
      <c r="H36" s="2">
        <v>259000000</v>
      </c>
      <c r="I36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2193</v>
      </c>
      <c r="J36" s="1">
        <v>2032</v>
      </c>
      <c r="K36" s="4">
        <f t="shared" si="2"/>
        <v>0.92827775239835542</v>
      </c>
      <c r="L36" s="2">
        <f>Table1[[#This Row],['[Cells'] c/ml]]*Table1[[#This Row],[Rbc%]]</f>
        <v>240423937.87117407</v>
      </c>
      <c r="M36" s="4">
        <f>SUM(Table1[[#This Row],[Lymoph%]],Table1[[#This Row],[FE%]],Table1[[#This Row],[GT%]],Table1[[#This Row],[CE%]],Table1[[#This Row],[Neutro%]],Table1[[#This Row],[Basophil%]])</f>
        <v>3.2375740994072047E-2</v>
      </c>
      <c r="N36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27.027027027027028</v>
      </c>
      <c r="O36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19.030303030303031</v>
      </c>
      <c r="P36" s="2">
        <f>Table1[[#This Row],['[Cells'] c/ml]]*Table1[[#This Row],[granulocyte%]]</f>
        <v>8385316.9174646605</v>
      </c>
      <c r="Q36" s="4">
        <f>SUM(Table1[[#This Row],[Lymoph%]],Table1[[#This Row],[GT%]],Table1[[#This Row],[FE%]],Table1[[#This Row],[CE%]],Table1[[#This Row],[Neutro%]],Table1[[#This Row],[Basophil%]],Table1[[#This Row],[Monocyte%]])</f>
        <v>3.3743730050159598E-2</v>
      </c>
      <c r="R36" s="2">
        <f>Table1[[#This Row],['[Cells'] c/ml]]*Table1[[#This Row],[wbc%]]</f>
        <v>8739626.0829913355</v>
      </c>
      <c r="S36" s="7">
        <f>Table1[[#This Row],['[wbc']]]/Table1[[#This Row],['[Granulocyte']]]</f>
        <v>1.0422535211267605</v>
      </c>
      <c r="T36" s="7">
        <f>Table1[[#This Row],['[Rbc']]]/Table1[[#This Row],['[wbc']]]</f>
        <v>27.50963663526478</v>
      </c>
      <c r="U36" s="1">
        <v>42</v>
      </c>
      <c r="V36" s="4">
        <f>Table1[[#This Row],[Lympho_count]]/Table1[[#This Row],[total count]]</f>
        <v>1.9151846785225718E-2</v>
      </c>
      <c r="W36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0.56756756756756754</v>
      </c>
      <c r="X36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0.63636363636363635</v>
      </c>
      <c r="Y36" s="2">
        <f>Table1[[#This Row],['[Cells'] c/ml]]*Table1[[#This Row],[Lymoph%]]</f>
        <v>4960328.3173734611</v>
      </c>
      <c r="Z36" s="1">
        <v>86</v>
      </c>
      <c r="AA36" s="4">
        <f>Table1[[#This Row],[Thrombo_count]]/Table1[[#This Row],[total count]]</f>
        <v>3.9215686274509803E-2</v>
      </c>
      <c r="AB36" s="2">
        <f>Table1[[#This Row],['[Cells'] c/ml]]*Table1[[#This Row],[Thrombo%]]</f>
        <v>10156862.74509804</v>
      </c>
      <c r="AC36" s="1">
        <v>8</v>
      </c>
      <c r="AD36" s="4">
        <f>Table1[[#This Row],[GT_count]]/Table1[[#This Row],[total count]]</f>
        <v>3.6479708162334701E-3</v>
      </c>
      <c r="AE36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0.10810810810810811</v>
      </c>
      <c r="AF36" s="2">
        <f>Table1[[#This Row],['[Cells'] c/ml]]*Table1[[#This Row],[GT%]]</f>
        <v>944824.44140446873</v>
      </c>
      <c r="AG36" s="1">
        <v>11</v>
      </c>
      <c r="AH36" s="4">
        <f>Table1[[#This Row],[FE_count]]/Table1[[#This Row],[total count]]</f>
        <v>5.0159598723210214E-3</v>
      </c>
      <c r="AI36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0.14864864864864866</v>
      </c>
      <c r="AJ36" s="4">
        <f>Table1[[#This Row],[FE_count]]/(Table1[[#This Row],[Lympho_count]]+Table1[[#This Row],[FE_count]]+Table1[[#This Row],[CE_count]]+Table1[[#This Row],[Neutro_count]]+Table1[[#This Row],[Monocyte_count]]+Table1[[#This Row],[Basophil_count]])</f>
        <v>0.16666666666666666</v>
      </c>
      <c r="AK36" s="2">
        <f>Table1[[#This Row],['[Cells'] c/ml]]*Table1[[#This Row],[FE%]]</f>
        <v>1299133.6069311446</v>
      </c>
      <c r="AL36" s="1">
        <v>8</v>
      </c>
      <c r="AM36" s="4">
        <f>Table1[[#This Row],[CE_count]]/Table1[[#This Row],[total count]]</f>
        <v>3.6479708162334701E-3</v>
      </c>
      <c r="AN36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0.10810810810810811</v>
      </c>
      <c r="AO36" s="4">
        <f>Table1[[#This Row],[CE_count]]/(Table1[[#This Row],[Lympho_count]]+Table1[[#This Row],[FE_count]]+Table1[[#This Row],[CE_count]]+Table1[[#This Row],[Neutro_count]]+Table1[[#This Row],[Monocyte_count]]+Table1[[#This Row],[Basophil_count]])</f>
        <v>0.12121212121212122</v>
      </c>
      <c r="AP36" s="2">
        <f>Table1[[#This Row],['[Cells'] c/ml]]*Table1[[#This Row],[CE%]]</f>
        <v>944824.44140446873</v>
      </c>
      <c r="AQ36" s="1">
        <v>2</v>
      </c>
      <c r="AR36" s="4">
        <f>Table1[[#This Row],[Neutro_count]]/Table1[[#This Row],[total count]]</f>
        <v>9.1199270405836752E-4</v>
      </c>
      <c r="AS36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2.7027027027027029E-2</v>
      </c>
      <c r="AT36" s="4">
        <f>Table1[[#This Row],[Neutro_count]]/(Table1[[#This Row],[Lympho_count]]+Table1[[#This Row],[FE_count]]+Table1[[#This Row],[CE_count]]+Table1[[#This Row],[Neutro_count]]+Table1[[#This Row],[Monocyte_count]]+Table1[[#This Row],[Basophil_count]])</f>
        <v>3.0303030303030304E-2</v>
      </c>
      <c r="AU36" s="2">
        <f>Table1[[#This Row],['[Cells'] c/ml]]*Table1[[#This Row],[Neutro%]]</f>
        <v>236206.11035111718</v>
      </c>
      <c r="AV36" s="5">
        <v>3</v>
      </c>
      <c r="AW36" s="4">
        <f>Table1[[#This Row],[Monocyte_count]]/Table1[[#This Row],[total count]]</f>
        <v>1.3679890560875513E-3</v>
      </c>
      <c r="AX36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4.0540540540540543E-2</v>
      </c>
      <c r="AY36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4.5454545454545456E-2</v>
      </c>
      <c r="AZ36" s="2">
        <f>Table1[[#This Row],['[Cells'] c/ml]]*Table1[[#This Row],[Monocyte%]]</f>
        <v>354309.16552667576</v>
      </c>
      <c r="BA36" s="1">
        <v>0</v>
      </c>
      <c r="BB36" s="4">
        <f>Table1[[#This Row],[Basophil_count]]/Table1[[#This Row],[total count]]</f>
        <v>0</v>
      </c>
      <c r="BC36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D36" s="4"/>
      <c r="BE36" s="2">
        <f>Table1[[#This Row],['[Cells'] c/ml]]*Table1[[#This Row],[Basophil%]]</f>
        <v>0</v>
      </c>
      <c r="BF36" s="1">
        <v>0</v>
      </c>
      <c r="BG36" s="4">
        <f>Table1[[#This Row],[immature_count]]/Table1[[#This Row],[total count]]</f>
        <v>0</v>
      </c>
      <c r="BH36" s="2">
        <f>Table1[[#This Row],['[Cells'] c/ml]]*Table1[[#This Row],[immature%]]</f>
        <v>0</v>
      </c>
      <c r="BI36" s="1">
        <v>0</v>
      </c>
      <c r="BJ36" s="4">
        <f>Table1[[#This Row],[mitosis_count]]/Table1[[#This Row],[total count]]</f>
        <v>0</v>
      </c>
      <c r="BK36" s="2">
        <f>Table1[[#This Row],['[Cells'] c/ml]]*Table1[[#This Row],[mitosis%]]</f>
        <v>0</v>
      </c>
      <c r="BL36" s="1">
        <v>1</v>
      </c>
      <c r="BM36" s="4">
        <f>Table1[[#This Row],[Abnormal_count]]/Table1[[#This Row],[total count]]</f>
        <v>4.5599635202918376E-4</v>
      </c>
      <c r="BN36" s="2">
        <f>Table1[[#This Row],['[Cells'] c/ml]]*Table1[[#This Row],[abnormal%]]</f>
        <v>118103.05517555859</v>
      </c>
    </row>
    <row r="37" spans="1:66" x14ac:dyDescent="0.25">
      <c r="A37" s="1" t="s">
        <v>104</v>
      </c>
      <c r="B37" s="1" t="s">
        <v>27</v>
      </c>
      <c r="C37" s="1" t="s">
        <v>15</v>
      </c>
      <c r="D37" s="1" t="s">
        <v>25</v>
      </c>
      <c r="E37" s="1">
        <v>6</v>
      </c>
      <c r="F37" s="3" t="s">
        <v>16</v>
      </c>
      <c r="G37" s="1" t="s">
        <v>16</v>
      </c>
      <c r="H37" s="2">
        <v>442500000</v>
      </c>
      <c r="I37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2184</v>
      </c>
      <c r="J37" s="1">
        <v>2044</v>
      </c>
      <c r="K37" s="4">
        <f t="shared" si="2"/>
        <v>0.93804497475906379</v>
      </c>
      <c r="L37" s="2">
        <f>Table1[[#This Row],['[Cells'] c/ml]]*Table1[[#This Row],[Rbc%]]</f>
        <v>415084901.33088571</v>
      </c>
      <c r="M37" s="4">
        <f>SUM(Table1[[#This Row],[Lymoph%]],Table1[[#This Row],[FE%]],Table1[[#This Row],[GT%]],Table1[[#This Row],[CE%]],Table1[[#This Row],[Neutro%]],Table1[[#This Row],[Basophil%]])</f>
        <v>2.7472527472527472E-2</v>
      </c>
      <c r="N37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16.061538461538461</v>
      </c>
      <c r="O37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16.061538461538461</v>
      </c>
      <c r="P37" s="2">
        <f>Table1[[#This Row],['[Cells'] c/ml]]*Table1[[#This Row],[granulocyte%]]</f>
        <v>12156593.406593407</v>
      </c>
      <c r="Q37" s="4">
        <f>SUM(Table1[[#This Row],[Lymoph%]],Table1[[#This Row],[GT%]],Table1[[#This Row],[FE%]],Table1[[#This Row],[CE%]],Table1[[#This Row],[Neutro%]],Table1[[#This Row],[Basophil%]],Table1[[#This Row],[Monocyte%]])</f>
        <v>2.976190476190476E-2</v>
      </c>
      <c r="R37" s="2">
        <f>Table1[[#This Row],['[Cells'] c/ml]]*Table1[[#This Row],[wbc%]]</f>
        <v>13169642.857142856</v>
      </c>
      <c r="S37" s="7">
        <f>Table1[[#This Row],['[wbc']]]/Table1[[#This Row],['[Granulocyte']]]</f>
        <v>1.0833333333333333</v>
      </c>
      <c r="T37" s="7">
        <f>Table1[[#This Row],['[Rbc']]]/Table1[[#This Row],['[wbc']]]</f>
        <v>31.518311151904545</v>
      </c>
      <c r="U37" s="1">
        <v>40</v>
      </c>
      <c r="V37" s="4">
        <f>Table1[[#This Row],[Lympho_count]]/Table1[[#This Row],[total count]]</f>
        <v>1.8315018315018316E-2</v>
      </c>
      <c r="W37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0.61538461538461542</v>
      </c>
      <c r="X37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0.61538461538461542</v>
      </c>
      <c r="Y37" s="2">
        <f>Table1[[#This Row],['[Cells'] c/ml]]*Table1[[#This Row],[Lymoph%]]</f>
        <v>8104395.6043956047</v>
      </c>
      <c r="Z37" s="1">
        <v>75</v>
      </c>
      <c r="AA37" s="4">
        <f>Table1[[#This Row],[Thrombo_count]]/Table1[[#This Row],[total count]]</f>
        <v>3.4340659340659344E-2</v>
      </c>
      <c r="AB37" s="2">
        <f>Table1[[#This Row],['[Cells'] c/ml]]*Table1[[#This Row],[Thrombo%]]</f>
        <v>15195741.75824176</v>
      </c>
      <c r="AC37" s="1">
        <v>0</v>
      </c>
      <c r="AD37" s="4">
        <f>Table1[[#This Row],[GT_count]]/Table1[[#This Row],[total count]]</f>
        <v>0</v>
      </c>
      <c r="AE37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0</v>
      </c>
      <c r="AF37" s="2">
        <f>Table1[[#This Row],['[Cells'] c/ml]]*Table1[[#This Row],[GT%]]</f>
        <v>0</v>
      </c>
      <c r="AG37" s="1">
        <v>3</v>
      </c>
      <c r="AH37" s="4">
        <f>Table1[[#This Row],[FE_count]]/Table1[[#This Row],[total count]]</f>
        <v>1.3736263736263737E-3</v>
      </c>
      <c r="AI37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4.6153846153846156E-2</v>
      </c>
      <c r="AJ37" s="4">
        <f>Table1[[#This Row],[FE_count]]/(Table1[[#This Row],[Lympho_count]]+Table1[[#This Row],[FE_count]]+Table1[[#This Row],[CE_count]]+Table1[[#This Row],[Neutro_count]]+Table1[[#This Row],[Monocyte_count]]+Table1[[#This Row],[Basophil_count]])</f>
        <v>4.6153846153846156E-2</v>
      </c>
      <c r="AK37" s="2">
        <f>Table1[[#This Row],['[Cells'] c/ml]]*Table1[[#This Row],[FE%]]</f>
        <v>607829.67032967042</v>
      </c>
      <c r="AL37" s="1">
        <v>13</v>
      </c>
      <c r="AM37" s="4">
        <f>Table1[[#This Row],[CE_count]]/Table1[[#This Row],[total count]]</f>
        <v>5.9523809523809521E-3</v>
      </c>
      <c r="AN37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0.2</v>
      </c>
      <c r="AO37" s="4">
        <f>Table1[[#This Row],[CE_count]]/(Table1[[#This Row],[Lympho_count]]+Table1[[#This Row],[FE_count]]+Table1[[#This Row],[CE_count]]+Table1[[#This Row],[Neutro_count]]+Table1[[#This Row],[Monocyte_count]]+Table1[[#This Row],[Basophil_count]])</f>
        <v>0.2</v>
      </c>
      <c r="AP37" s="2">
        <f>Table1[[#This Row],['[Cells'] c/ml]]*Table1[[#This Row],[CE%]]</f>
        <v>2633928.5714285714</v>
      </c>
      <c r="AQ37" s="1">
        <v>4</v>
      </c>
      <c r="AR37" s="4">
        <f>Table1[[#This Row],[Neutro_count]]/Table1[[#This Row],[total count]]</f>
        <v>1.8315018315018315E-3</v>
      </c>
      <c r="AS37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6.1538461538461542E-2</v>
      </c>
      <c r="AT37" s="4">
        <f>Table1[[#This Row],[Neutro_count]]/(Table1[[#This Row],[Lympho_count]]+Table1[[#This Row],[FE_count]]+Table1[[#This Row],[CE_count]]+Table1[[#This Row],[Neutro_count]]+Table1[[#This Row],[Monocyte_count]]+Table1[[#This Row],[Basophil_count]])</f>
        <v>6.1538461538461542E-2</v>
      </c>
      <c r="AU37" s="2">
        <f>Table1[[#This Row],['[Cells'] c/ml]]*Table1[[#This Row],[Neutro%]]</f>
        <v>810439.56043956045</v>
      </c>
      <c r="AV37" s="5">
        <v>5</v>
      </c>
      <c r="AW37" s="4">
        <f>Table1[[#This Row],[Monocyte_count]]/Table1[[#This Row],[total count]]</f>
        <v>2.2893772893772895E-3</v>
      </c>
      <c r="AX37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7.6923076923076927E-2</v>
      </c>
      <c r="AY37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7.6923076923076927E-2</v>
      </c>
      <c r="AZ37" s="2">
        <f>Table1[[#This Row],['[Cells'] c/ml]]*Table1[[#This Row],[Monocyte%]]</f>
        <v>1013049.4505494506</v>
      </c>
      <c r="BA37" s="1">
        <v>0</v>
      </c>
      <c r="BB37" s="4">
        <f>Table1[[#This Row],[Basophil_count]]/Table1[[#This Row],[total count]]</f>
        <v>0</v>
      </c>
      <c r="BC37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D37" s="4"/>
      <c r="BE37" s="2">
        <f>Table1[[#This Row],['[Cells'] c/ml]]*Table1[[#This Row],[Basophil%]]</f>
        <v>0</v>
      </c>
      <c r="BF37" s="1">
        <v>0</v>
      </c>
      <c r="BG37" s="4">
        <f>Table1[[#This Row],[immature_count]]/Table1[[#This Row],[total count]]</f>
        <v>0</v>
      </c>
      <c r="BH37" s="2">
        <f>Table1[[#This Row],['[Cells'] c/ml]]*Table1[[#This Row],[immature%]]</f>
        <v>0</v>
      </c>
      <c r="BI37" s="1">
        <v>0</v>
      </c>
      <c r="BJ37" s="4">
        <f>Table1[[#This Row],[mitosis_count]]/Table1[[#This Row],[total count]]</f>
        <v>0</v>
      </c>
      <c r="BK37" s="2">
        <f>Table1[[#This Row],['[Cells'] c/ml]]*Table1[[#This Row],[mitosis%]]</f>
        <v>0</v>
      </c>
      <c r="BL37" s="1">
        <v>0</v>
      </c>
      <c r="BM37" s="4">
        <f>Table1[[#This Row],[Abnormal_count]]/Table1[[#This Row],[total count]]</f>
        <v>0</v>
      </c>
      <c r="BN37" s="2">
        <f>Table1[[#This Row],['[Cells'] c/ml]]*Table1[[#This Row],[abnormal%]]</f>
        <v>0</v>
      </c>
    </row>
    <row r="38" spans="1:66" x14ac:dyDescent="0.25">
      <c r="A38" s="1" t="s">
        <v>104</v>
      </c>
      <c r="B38" s="1" t="s">
        <v>28</v>
      </c>
      <c r="C38" s="1" t="s">
        <v>15</v>
      </c>
      <c r="D38" s="1" t="s">
        <v>25</v>
      </c>
      <c r="E38" s="1">
        <v>6</v>
      </c>
      <c r="F38" s="3" t="s">
        <v>16</v>
      </c>
      <c r="G38" s="1" t="s">
        <v>16</v>
      </c>
      <c r="H38" s="2">
        <v>411000000</v>
      </c>
      <c r="I38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2179</v>
      </c>
      <c r="J38" s="1">
        <v>2040</v>
      </c>
      <c r="K38" s="4">
        <f t="shared" si="2"/>
        <v>0.93793103448275861</v>
      </c>
      <c r="L38" s="2">
        <f>Table1[[#This Row],['[Cells'] c/ml]]*Table1[[#This Row],[Rbc%]]</f>
        <v>385489655.17241377</v>
      </c>
      <c r="M38" s="4">
        <f>SUM(Table1[[#This Row],[Lymoph%]],Table1[[#This Row],[FE%]],Table1[[#This Row],[GT%]],Table1[[#This Row],[CE%]],Table1[[#This Row],[Neutro%]],Table1[[#This Row],[Basophil%]])</f>
        <v>3.6714089031665897E-2</v>
      </c>
      <c r="N38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21.035714285714285</v>
      </c>
      <c r="O38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17.037500000000001</v>
      </c>
      <c r="P38" s="2">
        <f>Table1[[#This Row],['[Cells'] c/ml]]*Table1[[#This Row],[granulocyte%]]</f>
        <v>15089490.592014683</v>
      </c>
      <c r="Q38" s="4">
        <f>SUM(Table1[[#This Row],[Lymoph%]],Table1[[#This Row],[GT%]],Table1[[#This Row],[FE%]],Table1[[#This Row],[CE%]],Table1[[#This Row],[Neutro%]],Table1[[#This Row],[Basophil%]],Table1[[#This Row],[Monocyte%]])</f>
        <v>3.854979348324919E-2</v>
      </c>
      <c r="R38" s="2">
        <f>Table1[[#This Row],['[Cells'] c/ml]]*Table1[[#This Row],[wbc%]]</f>
        <v>15843965.121615417</v>
      </c>
      <c r="S38" s="7">
        <f>Table1[[#This Row],['[wbc']]]/Table1[[#This Row],['[Granulocyte']]]</f>
        <v>1.05</v>
      </c>
      <c r="T38" s="7">
        <f>Table1[[#This Row],['[Rbc']]]/Table1[[#This Row],['[wbc']]]</f>
        <v>24.330377668308707</v>
      </c>
      <c r="U38" s="1">
        <v>56</v>
      </c>
      <c r="V38" s="4">
        <f>Table1[[#This Row],[Lympho_count]]/Table1[[#This Row],[total count]]</f>
        <v>2.5699862322166131E-2</v>
      </c>
      <c r="W38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0.66666666666666663</v>
      </c>
      <c r="X38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0.7</v>
      </c>
      <c r="Y38" s="2">
        <f>Table1[[#This Row],['[Cells'] c/ml]]*Table1[[#This Row],[Lymoph%]]</f>
        <v>10562643.41441028</v>
      </c>
      <c r="Z38" s="1">
        <v>55</v>
      </c>
      <c r="AA38" s="4">
        <f>Table1[[#This Row],[Thrombo_count]]/Table1[[#This Row],[total count]]</f>
        <v>2.5240936209270308E-2</v>
      </c>
      <c r="AB38" s="2">
        <f>Table1[[#This Row],['[Cells'] c/ml]]*Table1[[#This Row],[Thrombo%]]</f>
        <v>10374024.782010097</v>
      </c>
      <c r="AC38" s="1">
        <v>4</v>
      </c>
      <c r="AD38" s="4">
        <f>Table1[[#This Row],[GT_count]]/Table1[[#This Row],[total count]]</f>
        <v>1.8357044515832951E-3</v>
      </c>
      <c r="AE38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4.7619047619047616E-2</v>
      </c>
      <c r="AF38" s="2">
        <f>Table1[[#This Row],['[Cells'] c/ml]]*Table1[[#This Row],[GT%]]</f>
        <v>754474.52960073436</v>
      </c>
      <c r="AG38" s="1">
        <v>4</v>
      </c>
      <c r="AH38" s="4">
        <f>Table1[[#This Row],[FE_count]]/Table1[[#This Row],[total count]]</f>
        <v>1.8357044515832951E-3</v>
      </c>
      <c r="AI38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4.7619047619047616E-2</v>
      </c>
      <c r="AJ38" s="4">
        <f>Table1[[#This Row],[FE_count]]/(Table1[[#This Row],[Lympho_count]]+Table1[[#This Row],[FE_count]]+Table1[[#This Row],[CE_count]]+Table1[[#This Row],[Neutro_count]]+Table1[[#This Row],[Monocyte_count]]+Table1[[#This Row],[Basophil_count]])</f>
        <v>0.05</v>
      </c>
      <c r="AK38" s="2">
        <f>Table1[[#This Row],['[Cells'] c/ml]]*Table1[[#This Row],[FE%]]</f>
        <v>754474.52960073436</v>
      </c>
      <c r="AL38" s="1">
        <v>13</v>
      </c>
      <c r="AM38" s="4">
        <f>Table1[[#This Row],[CE_count]]/Table1[[#This Row],[total count]]</f>
        <v>5.9660394676457089E-3</v>
      </c>
      <c r="AN38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0.15476190476190477</v>
      </c>
      <c r="AO38" s="4">
        <f>Table1[[#This Row],[CE_count]]/(Table1[[#This Row],[Lympho_count]]+Table1[[#This Row],[FE_count]]+Table1[[#This Row],[CE_count]]+Table1[[#This Row],[Neutro_count]]+Table1[[#This Row],[Monocyte_count]]+Table1[[#This Row],[Basophil_count]])</f>
        <v>0.16250000000000001</v>
      </c>
      <c r="AP38" s="2">
        <f>Table1[[#This Row],['[Cells'] c/ml]]*Table1[[#This Row],[CE%]]</f>
        <v>2452042.2212023865</v>
      </c>
      <c r="AQ38" s="1">
        <v>3</v>
      </c>
      <c r="AR38" s="4">
        <f>Table1[[#This Row],[Neutro_count]]/Table1[[#This Row],[total count]]</f>
        <v>1.3767783386874712E-3</v>
      </c>
      <c r="AS38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3.5714285714285712E-2</v>
      </c>
      <c r="AT38" s="4">
        <f>Table1[[#This Row],[Neutro_count]]/(Table1[[#This Row],[Lympho_count]]+Table1[[#This Row],[FE_count]]+Table1[[#This Row],[CE_count]]+Table1[[#This Row],[Neutro_count]]+Table1[[#This Row],[Monocyte_count]]+Table1[[#This Row],[Basophil_count]])</f>
        <v>3.7499999999999999E-2</v>
      </c>
      <c r="AU38" s="2">
        <f>Table1[[#This Row],['[Cells'] c/ml]]*Table1[[#This Row],[Neutro%]]</f>
        <v>565855.89720055065</v>
      </c>
      <c r="AV38" s="5">
        <v>4</v>
      </c>
      <c r="AW38" s="4">
        <f>Table1[[#This Row],[Monocyte_count]]/Table1[[#This Row],[total count]]</f>
        <v>1.8357044515832951E-3</v>
      </c>
      <c r="AX38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4.7619047619047616E-2</v>
      </c>
      <c r="AY38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0.05</v>
      </c>
      <c r="AZ38" s="2">
        <f>Table1[[#This Row],['[Cells'] c/ml]]*Table1[[#This Row],[Monocyte%]]</f>
        <v>754474.52960073436</v>
      </c>
      <c r="BA38" s="1">
        <v>0</v>
      </c>
      <c r="BB38" s="4">
        <f>Table1[[#This Row],[Basophil_count]]/Table1[[#This Row],[total count]]</f>
        <v>0</v>
      </c>
      <c r="BC38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D38" s="4"/>
      <c r="BE38" s="2">
        <f>Table1[[#This Row],['[Cells'] c/ml]]*Table1[[#This Row],[Basophil%]]</f>
        <v>0</v>
      </c>
      <c r="BF38" s="1">
        <v>0</v>
      </c>
      <c r="BG38" s="4">
        <f>Table1[[#This Row],[immature_count]]/Table1[[#This Row],[total count]]</f>
        <v>0</v>
      </c>
      <c r="BH38" s="2">
        <f>Table1[[#This Row],['[Cells'] c/ml]]*Table1[[#This Row],[immature%]]</f>
        <v>0</v>
      </c>
      <c r="BI38" s="1">
        <v>0</v>
      </c>
      <c r="BJ38" s="4">
        <f>Table1[[#This Row],[mitosis_count]]/Table1[[#This Row],[total count]]</f>
        <v>0</v>
      </c>
      <c r="BK38" s="2">
        <f>Table1[[#This Row],['[Cells'] c/ml]]*Table1[[#This Row],[mitosis%]]</f>
        <v>0</v>
      </c>
      <c r="BL38" s="1">
        <v>0</v>
      </c>
      <c r="BM38" s="4">
        <f>Table1[[#This Row],[Abnormal_count]]/Table1[[#This Row],[total count]]</f>
        <v>0</v>
      </c>
      <c r="BN38" s="2">
        <f>Table1[[#This Row],['[Cells'] c/ml]]*Table1[[#This Row],[abnormal%]]</f>
        <v>0</v>
      </c>
    </row>
    <row r="39" spans="1:66" x14ac:dyDescent="0.25">
      <c r="A39" s="1" t="s">
        <v>104</v>
      </c>
      <c r="B39" s="1" t="s">
        <v>29</v>
      </c>
      <c r="C39" s="1" t="s">
        <v>10</v>
      </c>
      <c r="D39" s="1" t="s">
        <v>30</v>
      </c>
      <c r="E39" s="1">
        <v>6</v>
      </c>
      <c r="F39" s="3" t="s">
        <v>20</v>
      </c>
      <c r="G39" s="1">
        <v>0</v>
      </c>
      <c r="H39" s="2">
        <v>468000000</v>
      </c>
      <c r="I39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2238</v>
      </c>
      <c r="J39" s="1">
        <v>2100</v>
      </c>
      <c r="K39" s="4">
        <f t="shared" si="2"/>
        <v>0.93917710196779969</v>
      </c>
      <c r="L39" s="2">
        <f>Table1[[#This Row],['[Cells'] c/ml]]*Table1[[#This Row],[Rbc%]]</f>
        <v>439534883.72093028</v>
      </c>
      <c r="M39" s="4">
        <f>SUM(Table1[[#This Row],[Lymoph%]],Table1[[#This Row],[FE%]],Table1[[#This Row],[GT%]],Table1[[#This Row],[CE%]],Table1[[#This Row],[Neutro%]],Table1[[#This Row],[Basophil%]])</f>
        <v>3.5299374441465595E-2</v>
      </c>
      <c r="N39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28.061728395061728</v>
      </c>
      <c r="O39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20.068493150684933</v>
      </c>
      <c r="P39" s="2">
        <f>Table1[[#This Row],['[Cells'] c/ml]]*Table1[[#This Row],[granulocyte%]]</f>
        <v>16520107.238605898</v>
      </c>
      <c r="Q39" s="4">
        <f>SUM(Table1[[#This Row],[Lymoph%]],Table1[[#This Row],[GT%]],Table1[[#This Row],[FE%]],Table1[[#This Row],[CE%]],Table1[[#This Row],[Neutro%]],Table1[[#This Row],[Basophil%]],Table1[[#This Row],[Monocyte%]])</f>
        <v>3.6193029490616632E-2</v>
      </c>
      <c r="R39" s="2">
        <f>Table1[[#This Row],['[Cells'] c/ml]]*Table1[[#This Row],[wbc%]]</f>
        <v>16938337.801608585</v>
      </c>
      <c r="S39" s="7">
        <f>Table1[[#This Row],['[wbc']]]/Table1[[#This Row],['[Granulocyte']]]</f>
        <v>1.0253164556962029</v>
      </c>
      <c r="T39" s="7">
        <f>Table1[[#This Row],['[Rbc']]]/Table1[[#This Row],['[wbc']]]</f>
        <v>25.949115483999197</v>
      </c>
      <c r="U39" s="1">
        <v>44</v>
      </c>
      <c r="V39" s="4">
        <f>Table1[[#This Row],[Lympho_count]]/Table1[[#This Row],[total count]]</f>
        <v>1.9660411081322611E-2</v>
      </c>
      <c r="W39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0.54320987654320985</v>
      </c>
      <c r="X39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0.60273972602739723</v>
      </c>
      <c r="Y39" s="2">
        <f>Table1[[#This Row],['[Cells'] c/ml]]*Table1[[#This Row],[Lymoph%]]</f>
        <v>9201072.3860589825</v>
      </c>
      <c r="Z39" s="1">
        <v>55</v>
      </c>
      <c r="AA39" s="4">
        <f>Table1[[#This Row],[Thrombo_count]]/Table1[[#This Row],[total count]]</f>
        <v>2.4575513851653262E-2</v>
      </c>
      <c r="AB39" s="2">
        <f>Table1[[#This Row],['[Cells'] c/ml]]*Table1[[#This Row],[Thrombo%]]</f>
        <v>11501340.482573727</v>
      </c>
      <c r="AC39" s="1">
        <v>8</v>
      </c>
      <c r="AD39" s="4">
        <f>Table1[[#This Row],[GT_count]]/Table1[[#This Row],[total count]]</f>
        <v>3.5746201966041107E-3</v>
      </c>
      <c r="AE39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9.8765432098765427E-2</v>
      </c>
      <c r="AF39" s="2">
        <f>Table1[[#This Row],['[Cells'] c/ml]]*Table1[[#This Row],[GT%]]</f>
        <v>1672922.2520107238</v>
      </c>
      <c r="AG39" s="1">
        <v>11</v>
      </c>
      <c r="AH39" s="4">
        <f>Table1[[#This Row],[FE_count]]/Table1[[#This Row],[total count]]</f>
        <v>4.9151027703306528E-3</v>
      </c>
      <c r="AI39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0.13580246913580246</v>
      </c>
      <c r="AJ39" s="4">
        <f>Table1[[#This Row],[FE_count]]/(Table1[[#This Row],[Lympho_count]]+Table1[[#This Row],[FE_count]]+Table1[[#This Row],[CE_count]]+Table1[[#This Row],[Neutro_count]]+Table1[[#This Row],[Monocyte_count]]+Table1[[#This Row],[Basophil_count]])</f>
        <v>0.15068493150684931</v>
      </c>
      <c r="AK39" s="2">
        <f>Table1[[#This Row],['[Cells'] c/ml]]*Table1[[#This Row],[FE%]]</f>
        <v>2300268.0965147456</v>
      </c>
      <c r="AL39" s="1">
        <v>9</v>
      </c>
      <c r="AM39" s="4">
        <f>Table1[[#This Row],[CE_count]]/Table1[[#This Row],[total count]]</f>
        <v>4.0214477211796247E-3</v>
      </c>
      <c r="AN39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0.1111111111111111</v>
      </c>
      <c r="AO39" s="4">
        <f>Table1[[#This Row],[CE_count]]/(Table1[[#This Row],[Lympho_count]]+Table1[[#This Row],[FE_count]]+Table1[[#This Row],[CE_count]]+Table1[[#This Row],[Neutro_count]]+Table1[[#This Row],[Monocyte_count]]+Table1[[#This Row],[Basophil_count]])</f>
        <v>0.12328767123287671</v>
      </c>
      <c r="AP39" s="2">
        <f>Table1[[#This Row],['[Cells'] c/ml]]*Table1[[#This Row],[CE%]]</f>
        <v>1882037.5335120645</v>
      </c>
      <c r="AQ39" s="1">
        <v>5</v>
      </c>
      <c r="AR39" s="4">
        <f>Table1[[#This Row],[Neutro_count]]/Table1[[#This Row],[total count]]</f>
        <v>2.2341376228775692E-3</v>
      </c>
      <c r="AS39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6.1728395061728392E-2</v>
      </c>
      <c r="AT39" s="4">
        <f>Table1[[#This Row],[Neutro_count]]/(Table1[[#This Row],[Lympho_count]]+Table1[[#This Row],[FE_count]]+Table1[[#This Row],[CE_count]]+Table1[[#This Row],[Neutro_count]]+Table1[[#This Row],[Monocyte_count]]+Table1[[#This Row],[Basophil_count]])</f>
        <v>6.8493150684931503E-2</v>
      </c>
      <c r="AU39" s="2">
        <f>Table1[[#This Row],['[Cells'] c/ml]]*Table1[[#This Row],[Neutro%]]</f>
        <v>1045576.4075067024</v>
      </c>
      <c r="AV39" s="5">
        <v>2</v>
      </c>
      <c r="AW39" s="4">
        <f>Table1[[#This Row],[Monocyte_count]]/Table1[[#This Row],[total count]]</f>
        <v>8.9365504915102768E-4</v>
      </c>
      <c r="AX39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2.4691358024691357E-2</v>
      </c>
      <c r="AY39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2.7397260273972601E-2</v>
      </c>
      <c r="AZ39" s="2">
        <f>Table1[[#This Row],['[Cells'] c/ml]]*Table1[[#This Row],[Monocyte%]]</f>
        <v>418230.56300268095</v>
      </c>
      <c r="BA39" s="1">
        <v>2</v>
      </c>
      <c r="BB39" s="4">
        <f>Table1[[#This Row],[Basophil_count]]/Table1[[#This Row],[total count]]</f>
        <v>8.9365504915102768E-4</v>
      </c>
      <c r="BC39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2.7397260273972601E-2</v>
      </c>
      <c r="BD39" s="4"/>
      <c r="BE39" s="2">
        <f>Table1[[#This Row],['[Cells'] c/ml]]*Table1[[#This Row],[Basophil%]]</f>
        <v>418230.56300268095</v>
      </c>
      <c r="BF39" s="1">
        <v>2</v>
      </c>
      <c r="BG39" s="4">
        <f>Table1[[#This Row],[immature_count]]/Table1[[#This Row],[total count]]</f>
        <v>8.9365504915102768E-4</v>
      </c>
      <c r="BH39" s="2">
        <f>Table1[[#This Row],['[Cells'] c/ml]]*Table1[[#This Row],[immature%]]</f>
        <v>418230.56300268095</v>
      </c>
      <c r="BI39" s="1">
        <v>0</v>
      </c>
      <c r="BJ39" s="4">
        <f>Table1[[#This Row],[mitosis_count]]/Table1[[#This Row],[total count]]</f>
        <v>0</v>
      </c>
      <c r="BK39" s="2">
        <f>Table1[[#This Row],['[Cells'] c/ml]]*Table1[[#This Row],[mitosis%]]</f>
        <v>0</v>
      </c>
      <c r="BL39" s="1">
        <v>0</v>
      </c>
      <c r="BM39" s="4">
        <f>Table1[[#This Row],[Abnormal_count]]/Table1[[#This Row],[total count]]</f>
        <v>0</v>
      </c>
      <c r="BN39" s="2">
        <f>Table1[[#This Row],['[Cells'] c/ml]]*Table1[[#This Row],[abnormal%]]</f>
        <v>0</v>
      </c>
    </row>
    <row r="40" spans="1:66" x14ac:dyDescent="0.25">
      <c r="A40" s="1" t="s">
        <v>104</v>
      </c>
      <c r="B40" s="1" t="s">
        <v>31</v>
      </c>
      <c r="C40" s="1" t="s">
        <v>10</v>
      </c>
      <c r="D40" s="1" t="s">
        <v>30</v>
      </c>
      <c r="E40" s="1">
        <v>6</v>
      </c>
      <c r="F40" s="3" t="s">
        <v>20</v>
      </c>
      <c r="G40" s="1">
        <v>0</v>
      </c>
      <c r="H40" s="2">
        <v>374000000</v>
      </c>
      <c r="I40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2141</v>
      </c>
      <c r="J40" s="1">
        <v>2039</v>
      </c>
      <c r="K40" s="4">
        <f t="shared" si="2"/>
        <v>0.95414131960692561</v>
      </c>
      <c r="L40" s="2">
        <f>Table1[[#This Row],['[Cells'] c/ml]]*Table1[[#This Row],[Rbc%]]</f>
        <v>356848853.53299016</v>
      </c>
      <c r="M40" s="4">
        <f>SUM(Table1[[#This Row],[Lymoph%]],Table1[[#This Row],[FE%]],Table1[[#This Row],[GT%]],Table1[[#This Row],[CE%]],Table1[[#This Row],[Neutro%]],Table1[[#This Row],[Basophil%]])</f>
        <v>2.5221858944418495E-2</v>
      </c>
      <c r="N40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25.017241379310345</v>
      </c>
      <c r="O40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17.02</v>
      </c>
      <c r="P40" s="2">
        <f>Table1[[#This Row],['[Cells'] c/ml]]*Table1[[#This Row],[granulocyte%]]</f>
        <v>9432975.2452125177</v>
      </c>
      <c r="Q40" s="4">
        <f>SUM(Table1[[#This Row],[Lymoph%]],Table1[[#This Row],[GT%]],Table1[[#This Row],[FE%]],Table1[[#This Row],[CE%]],Table1[[#This Row],[Neutro%]],Table1[[#This Row],[Basophil%]],Table1[[#This Row],[Monocyte%]])</f>
        <v>2.7090144792153197E-2</v>
      </c>
      <c r="R40" s="2">
        <f>Table1[[#This Row],['[Cells'] c/ml]]*Table1[[#This Row],[wbc%]]</f>
        <v>10131714.152265295</v>
      </c>
      <c r="S40" s="7">
        <f>Table1[[#This Row],['[wbc']]]/Table1[[#This Row],['[Granulocyte']]]</f>
        <v>1.074074074074074</v>
      </c>
      <c r="T40" s="7">
        <f>Table1[[#This Row],['[Rbc']]]/Table1[[#This Row],['[wbc']]]</f>
        <v>35.220975263421167</v>
      </c>
      <c r="U40" s="1">
        <v>28</v>
      </c>
      <c r="V40" s="4">
        <f>Table1[[#This Row],[Lympho_count]]/Table1[[#This Row],[total count]]</f>
        <v>1.3078000934142924E-2</v>
      </c>
      <c r="W40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0.48275862068965519</v>
      </c>
      <c r="X40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0.56000000000000005</v>
      </c>
      <c r="Y40" s="2">
        <f>Table1[[#This Row],['[Cells'] c/ml]]*Table1[[#This Row],[Lymoph%]]</f>
        <v>4891172.3493694533</v>
      </c>
      <c r="Z40" s="1">
        <v>44</v>
      </c>
      <c r="AA40" s="4">
        <f>Table1[[#This Row],[Thrombo_count]]/Table1[[#This Row],[total count]]</f>
        <v>2.0551144325081736E-2</v>
      </c>
      <c r="AB40" s="2">
        <f>Table1[[#This Row],['[Cells'] c/ml]]*Table1[[#This Row],[Thrombo%]]</f>
        <v>7686127.9775805697</v>
      </c>
      <c r="AC40" s="1">
        <v>8</v>
      </c>
      <c r="AD40" s="4">
        <f>Table1[[#This Row],[GT_count]]/Table1[[#This Row],[total count]]</f>
        <v>3.7365716954694066E-3</v>
      </c>
      <c r="AE40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0.13793103448275862</v>
      </c>
      <c r="AF40" s="2">
        <f>Table1[[#This Row],['[Cells'] c/ml]]*Table1[[#This Row],[GT%]]</f>
        <v>1397477.814105558</v>
      </c>
      <c r="AG40" s="1">
        <v>4</v>
      </c>
      <c r="AH40" s="4">
        <f>Table1[[#This Row],[FE_count]]/Table1[[#This Row],[total count]]</f>
        <v>1.8682858477347033E-3</v>
      </c>
      <c r="AI40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6.8965517241379309E-2</v>
      </c>
      <c r="AJ40" s="4">
        <f>Table1[[#This Row],[FE_count]]/(Table1[[#This Row],[Lympho_count]]+Table1[[#This Row],[FE_count]]+Table1[[#This Row],[CE_count]]+Table1[[#This Row],[Neutro_count]]+Table1[[#This Row],[Monocyte_count]]+Table1[[#This Row],[Basophil_count]])</f>
        <v>0.08</v>
      </c>
      <c r="AK40" s="2">
        <f>Table1[[#This Row],['[Cells'] c/ml]]*Table1[[#This Row],[FE%]]</f>
        <v>698738.90705277899</v>
      </c>
      <c r="AL40" s="1">
        <v>13</v>
      </c>
      <c r="AM40" s="4">
        <f>Table1[[#This Row],[CE_count]]/Table1[[#This Row],[total count]]</f>
        <v>6.0719290051377862E-3</v>
      </c>
      <c r="AN40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0.22413793103448276</v>
      </c>
      <c r="AO40" s="4">
        <f>Table1[[#This Row],[CE_count]]/(Table1[[#This Row],[Lympho_count]]+Table1[[#This Row],[FE_count]]+Table1[[#This Row],[CE_count]]+Table1[[#This Row],[Neutro_count]]+Table1[[#This Row],[Monocyte_count]]+Table1[[#This Row],[Basophil_count]])</f>
        <v>0.26</v>
      </c>
      <c r="AP40" s="2">
        <f>Table1[[#This Row],['[Cells'] c/ml]]*Table1[[#This Row],[CE%]]</f>
        <v>2270901.4479215322</v>
      </c>
      <c r="AQ40" s="1">
        <v>1</v>
      </c>
      <c r="AR40" s="4">
        <f>Table1[[#This Row],[Neutro_count]]/Table1[[#This Row],[total count]]</f>
        <v>4.6707146193367583E-4</v>
      </c>
      <c r="AS40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1.7241379310344827E-2</v>
      </c>
      <c r="AT40" s="4">
        <f>Table1[[#This Row],[Neutro_count]]/(Table1[[#This Row],[Lympho_count]]+Table1[[#This Row],[FE_count]]+Table1[[#This Row],[CE_count]]+Table1[[#This Row],[Neutro_count]]+Table1[[#This Row],[Monocyte_count]]+Table1[[#This Row],[Basophil_count]])</f>
        <v>0.02</v>
      </c>
      <c r="AU40" s="2">
        <f>Table1[[#This Row],['[Cells'] c/ml]]*Table1[[#This Row],[Neutro%]]</f>
        <v>174684.72676319475</v>
      </c>
      <c r="AV40" s="5">
        <v>4</v>
      </c>
      <c r="AW40" s="4">
        <f>Table1[[#This Row],[Monocyte_count]]/Table1[[#This Row],[total count]]</f>
        <v>1.8682858477347033E-3</v>
      </c>
      <c r="AX40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6.8965517241379309E-2</v>
      </c>
      <c r="AY40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0.08</v>
      </c>
      <c r="AZ40" s="2">
        <f>Table1[[#This Row],['[Cells'] c/ml]]*Table1[[#This Row],[Monocyte%]]</f>
        <v>698738.90705277899</v>
      </c>
      <c r="BA40" s="1">
        <v>0</v>
      </c>
      <c r="BB40" s="4">
        <f>Table1[[#This Row],[Basophil_count]]/Table1[[#This Row],[total count]]</f>
        <v>0</v>
      </c>
      <c r="BC40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D40" s="4"/>
      <c r="BE40" s="2">
        <f>Table1[[#This Row],['[Cells'] c/ml]]*Table1[[#This Row],[Basophil%]]</f>
        <v>0</v>
      </c>
      <c r="BF40" s="1">
        <v>0</v>
      </c>
      <c r="BG40" s="4">
        <f>Table1[[#This Row],[immature_count]]/Table1[[#This Row],[total count]]</f>
        <v>0</v>
      </c>
      <c r="BH40" s="2">
        <f>Table1[[#This Row],['[Cells'] c/ml]]*Table1[[#This Row],[immature%]]</f>
        <v>0</v>
      </c>
      <c r="BI40" s="1">
        <v>0</v>
      </c>
      <c r="BJ40" s="4">
        <f>Table1[[#This Row],[mitosis_count]]/Table1[[#This Row],[total count]]</f>
        <v>0</v>
      </c>
      <c r="BK40" s="2">
        <f>Table1[[#This Row],['[Cells'] c/ml]]*Table1[[#This Row],[mitosis%]]</f>
        <v>0</v>
      </c>
      <c r="BL40" s="1">
        <v>0</v>
      </c>
      <c r="BM40" s="4">
        <f>Table1[[#This Row],[Abnormal_count]]/Table1[[#This Row],[total count]]</f>
        <v>0</v>
      </c>
      <c r="BN40" s="2">
        <f>Table1[[#This Row],['[Cells'] c/ml]]*Table1[[#This Row],[abnormal%]]</f>
        <v>0</v>
      </c>
    </row>
    <row r="41" spans="1:66" x14ac:dyDescent="0.25">
      <c r="A41" s="1" t="s">
        <v>104</v>
      </c>
      <c r="B41" s="1" t="s">
        <v>32</v>
      </c>
      <c r="C41" s="1" t="s">
        <v>33</v>
      </c>
      <c r="D41" s="1" t="s">
        <v>30</v>
      </c>
      <c r="E41" s="1">
        <v>6</v>
      </c>
      <c r="F41" s="3" t="s">
        <v>16</v>
      </c>
      <c r="G41" s="1" t="s">
        <v>16</v>
      </c>
      <c r="H41" s="2">
        <v>375000000</v>
      </c>
      <c r="I41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2155</v>
      </c>
      <c r="J41" s="1">
        <v>2019</v>
      </c>
      <c r="K41" s="4">
        <f t="shared" si="2"/>
        <v>0.9430172816440916</v>
      </c>
      <c r="L41" s="2">
        <f>Table1[[#This Row],['[Cells'] c/ml]]*Table1[[#This Row],[Rbc%]]</f>
        <v>353631480.61653435</v>
      </c>
      <c r="M41" s="4">
        <f>SUM(Table1[[#This Row],[Lymoph%]],Table1[[#This Row],[FE%]],Table1[[#This Row],[GT%]],Table1[[#This Row],[CE%]],Table1[[#This Row],[Neutro%]],Table1[[#This Row],[Basophil%]])</f>
        <v>3.6194895591647333E-2</v>
      </c>
      <c r="N41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31.032608695652176</v>
      </c>
      <c r="O41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23.035714285714285</v>
      </c>
      <c r="P41" s="2">
        <f>Table1[[#This Row],['[Cells'] c/ml]]*Table1[[#This Row],[granulocyte%]]</f>
        <v>13573085.846867749</v>
      </c>
      <c r="Q41" s="4">
        <f>SUM(Table1[[#This Row],[Lymoph%]],Table1[[#This Row],[GT%]],Table1[[#This Row],[FE%]],Table1[[#This Row],[CE%]],Table1[[#This Row],[Neutro%]],Table1[[#This Row],[Basophil%]],Table1[[#This Row],[Monocyte%]])</f>
        <v>4.269141531322506E-2</v>
      </c>
      <c r="R41" s="2">
        <f>Table1[[#This Row],['[Cells'] c/ml]]*Table1[[#This Row],[wbc%]]</f>
        <v>16009280.742459398</v>
      </c>
      <c r="S41" s="7">
        <f>Table1[[#This Row],['[wbc']]]/Table1[[#This Row],['[Granulocyte']]]</f>
        <v>1.1794871794871795</v>
      </c>
      <c r="T41" s="7">
        <f>Table1[[#This Row],['[Rbc']]]/Table1[[#This Row],['[wbc']]]</f>
        <v>22.089154803728448</v>
      </c>
      <c r="U41" s="1">
        <v>42</v>
      </c>
      <c r="V41" s="4">
        <f>Table1[[#This Row],[Lympho_count]]/Table1[[#This Row],[total count]]</f>
        <v>1.9489559164733179E-2</v>
      </c>
      <c r="W41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0.45652173913043476</v>
      </c>
      <c r="X41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0.5</v>
      </c>
      <c r="Y41" s="2">
        <f>Table1[[#This Row],['[Cells'] c/ml]]*Table1[[#This Row],[Lymoph%]]</f>
        <v>7308584.6867749421</v>
      </c>
      <c r="Z41" s="1">
        <v>44</v>
      </c>
      <c r="AA41" s="4">
        <f>Table1[[#This Row],[Thrombo_count]]/Table1[[#This Row],[total count]]</f>
        <v>2.0417633410672854E-2</v>
      </c>
      <c r="AB41" s="2">
        <f>Table1[[#This Row],['[Cells'] c/ml]]*Table1[[#This Row],[Thrombo%]]</f>
        <v>7656612.52900232</v>
      </c>
      <c r="AC41" s="1">
        <v>8</v>
      </c>
      <c r="AD41" s="4">
        <f>Table1[[#This Row],[GT_count]]/Table1[[#This Row],[total count]]</f>
        <v>3.7122969837587007E-3</v>
      </c>
      <c r="AE41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8.6956521739130432E-2</v>
      </c>
      <c r="AF41" s="2">
        <f>Table1[[#This Row],['[Cells'] c/ml]]*Table1[[#This Row],[GT%]]</f>
        <v>1392111.3689095129</v>
      </c>
      <c r="AG41" s="1">
        <v>4</v>
      </c>
      <c r="AH41" s="4">
        <f>Table1[[#This Row],[FE_count]]/Table1[[#This Row],[total count]]</f>
        <v>1.8561484918793504E-3</v>
      </c>
      <c r="AI41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4.3478260869565216E-2</v>
      </c>
      <c r="AJ41" s="4">
        <f>Table1[[#This Row],[FE_count]]/(Table1[[#This Row],[Lympho_count]]+Table1[[#This Row],[FE_count]]+Table1[[#This Row],[CE_count]]+Table1[[#This Row],[Neutro_count]]+Table1[[#This Row],[Monocyte_count]]+Table1[[#This Row],[Basophil_count]])</f>
        <v>4.7619047619047616E-2</v>
      </c>
      <c r="AK41" s="2">
        <f>Table1[[#This Row],['[Cells'] c/ml]]*Table1[[#This Row],[FE%]]</f>
        <v>696055.68445475644</v>
      </c>
      <c r="AL41" s="1">
        <v>19</v>
      </c>
      <c r="AM41" s="4">
        <f>Table1[[#This Row],[CE_count]]/Table1[[#This Row],[total count]]</f>
        <v>8.8167053364269134E-3</v>
      </c>
      <c r="AN41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0.20652173913043478</v>
      </c>
      <c r="AO41" s="4">
        <f>Table1[[#This Row],[CE_count]]/(Table1[[#This Row],[Lympho_count]]+Table1[[#This Row],[FE_count]]+Table1[[#This Row],[CE_count]]+Table1[[#This Row],[Neutro_count]]+Table1[[#This Row],[Monocyte_count]]+Table1[[#This Row],[Basophil_count]])</f>
        <v>0.22619047619047619</v>
      </c>
      <c r="AP41" s="2">
        <f>Table1[[#This Row],['[Cells'] c/ml]]*Table1[[#This Row],[CE%]]</f>
        <v>3306264.5011600927</v>
      </c>
      <c r="AQ41" s="1">
        <v>3</v>
      </c>
      <c r="AR41" s="4">
        <f>Table1[[#This Row],[Neutro_count]]/Table1[[#This Row],[total count]]</f>
        <v>1.3921113689095127E-3</v>
      </c>
      <c r="AS41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3.2608695652173912E-2</v>
      </c>
      <c r="AT41" s="4">
        <f>Table1[[#This Row],[Neutro_count]]/(Table1[[#This Row],[Lympho_count]]+Table1[[#This Row],[FE_count]]+Table1[[#This Row],[CE_count]]+Table1[[#This Row],[Neutro_count]]+Table1[[#This Row],[Monocyte_count]]+Table1[[#This Row],[Basophil_count]])</f>
        <v>3.5714285714285712E-2</v>
      </c>
      <c r="AU41" s="2">
        <f>Table1[[#This Row],['[Cells'] c/ml]]*Table1[[#This Row],[Neutro%]]</f>
        <v>522041.76334106724</v>
      </c>
      <c r="AV41" s="5">
        <v>14</v>
      </c>
      <c r="AW41" s="4">
        <f>Table1[[#This Row],[Monocyte_count]]/Table1[[#This Row],[total count]]</f>
        <v>6.4965197215777265E-3</v>
      </c>
      <c r="AX41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0.15217391304347827</v>
      </c>
      <c r="AY41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0.16666666666666666</v>
      </c>
      <c r="AZ41" s="2">
        <f>Table1[[#This Row],['[Cells'] c/ml]]*Table1[[#This Row],[Monocyte%]]</f>
        <v>2436194.8955916474</v>
      </c>
      <c r="BA41" s="1">
        <v>2</v>
      </c>
      <c r="BB41" s="4">
        <f>Table1[[#This Row],[Basophil_count]]/Table1[[#This Row],[total count]]</f>
        <v>9.2807424593967518E-4</v>
      </c>
      <c r="BC41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2.3809523809523808E-2</v>
      </c>
      <c r="BD41" s="4"/>
      <c r="BE41" s="2">
        <f>Table1[[#This Row],['[Cells'] c/ml]]*Table1[[#This Row],[Basophil%]]</f>
        <v>348027.84222737822</v>
      </c>
      <c r="BF41" s="1">
        <v>0</v>
      </c>
      <c r="BG41" s="4">
        <f>Table1[[#This Row],[immature_count]]/Table1[[#This Row],[total count]]</f>
        <v>0</v>
      </c>
      <c r="BH41" s="2">
        <f>Table1[[#This Row],['[Cells'] c/ml]]*Table1[[#This Row],[immature%]]</f>
        <v>0</v>
      </c>
      <c r="BI41" s="1">
        <v>0</v>
      </c>
      <c r="BJ41" s="4">
        <f>Table1[[#This Row],[mitosis_count]]/Table1[[#This Row],[total count]]</f>
        <v>0</v>
      </c>
      <c r="BK41" s="2">
        <f>Table1[[#This Row],['[Cells'] c/ml]]*Table1[[#This Row],[mitosis%]]</f>
        <v>0</v>
      </c>
      <c r="BL41" s="1">
        <v>0</v>
      </c>
      <c r="BM41" s="4">
        <f>Table1[[#This Row],[Abnormal_count]]/Table1[[#This Row],[total count]]</f>
        <v>0</v>
      </c>
      <c r="BN41" s="2">
        <f>Table1[[#This Row],['[Cells'] c/ml]]*Table1[[#This Row],[abnormal%]]</f>
        <v>0</v>
      </c>
    </row>
    <row r="42" spans="1:66" x14ac:dyDescent="0.25">
      <c r="A42" s="1" t="s">
        <v>104</v>
      </c>
      <c r="B42" s="1" t="s">
        <v>34</v>
      </c>
      <c r="C42" s="1" t="s">
        <v>15</v>
      </c>
      <c r="D42" s="1" t="s">
        <v>30</v>
      </c>
      <c r="E42" s="1">
        <v>6</v>
      </c>
      <c r="F42" s="3" t="s">
        <v>16</v>
      </c>
      <c r="G42" s="1" t="s">
        <v>16</v>
      </c>
      <c r="H42" s="2">
        <v>586000000</v>
      </c>
      <c r="I42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2167</v>
      </c>
      <c r="J42" s="1">
        <v>2028</v>
      </c>
      <c r="K42" s="4">
        <f>J42/SUM(J42+U42,Z42,AC42,AG42,AL42,AQ41,BA42,BF42,BI42)</f>
        <v>0.93672055427251733</v>
      </c>
      <c r="L42" s="2">
        <f>Table1[[#This Row],['[Cells'] c/ml]]*Table1[[#This Row],[Rbc%]]</f>
        <v>548918244.8036952</v>
      </c>
      <c r="M42" s="4">
        <f>SUM(Table1[[#This Row],[Lymoph%]],Table1[[#This Row],[FE%]],Table1[[#This Row],[GT%]],Table1[[#This Row],[CE%]],Table1[[#This Row],[Neutro%]],Table1[[#This Row],[Basophil%]])</f>
        <v>4.2916474388555607E-2</v>
      </c>
      <c r="N42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18.020833333333332</v>
      </c>
      <c r="O42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15.021505376344086</v>
      </c>
      <c r="P42" s="2">
        <f>Table1[[#This Row],['[Cells'] c/ml]]*Table1[[#This Row],[granulocyte%]]</f>
        <v>25149053.991693586</v>
      </c>
      <c r="Q42" s="4">
        <f>SUM(Table1[[#This Row],[Lymoph%]],Table1[[#This Row],[GT%]],Table1[[#This Row],[FE%]],Table1[[#This Row],[CE%]],Table1[[#This Row],[Neutro%]],Table1[[#This Row],[Basophil%]],Table1[[#This Row],[Monocyte%]])</f>
        <v>4.4300876788186436E-2</v>
      </c>
      <c r="R42" s="2">
        <f>Table1[[#This Row],['[Cells'] c/ml]]*Table1[[#This Row],[wbc%]]</f>
        <v>25960313.797877252</v>
      </c>
      <c r="S42" s="7">
        <f>Table1[[#This Row],['[wbc']]]/Table1[[#This Row],['[Granulocyte']]]</f>
        <v>1.032258064516129</v>
      </c>
      <c r="T42" s="7">
        <f>Table1[[#This Row],['[Rbc']]]/Table1[[#This Row],['[wbc']]]</f>
        <v>21.144515011547345</v>
      </c>
      <c r="U42" s="1">
        <v>73</v>
      </c>
      <c r="V42" s="4">
        <f>Table1[[#This Row],[Lympho_count]]/Table1[[#This Row],[total count]]</f>
        <v>3.3687125057683433E-2</v>
      </c>
      <c r="W42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0.76041666666666663</v>
      </c>
      <c r="X42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0.78494623655913975</v>
      </c>
      <c r="Y42" s="2">
        <f>Table1[[#This Row],['[Cells'] c/ml]]*Table1[[#This Row],[Lymoph%]]</f>
        <v>19740655.283802491</v>
      </c>
      <c r="Z42" s="1">
        <v>43</v>
      </c>
      <c r="AA42" s="4">
        <f>Table1[[#This Row],[Thrombo_count]]/Table1[[#This Row],[total count]]</f>
        <v>1.9843101061375174E-2</v>
      </c>
      <c r="AB42" s="2">
        <f>Table1[[#This Row],['[Cells'] c/ml]]*Table1[[#This Row],[Thrombo%]]</f>
        <v>11628057.221965851</v>
      </c>
      <c r="AC42" s="1">
        <v>3</v>
      </c>
      <c r="AD42" s="4">
        <f>Table1[[#This Row],[GT_count]]/Table1[[#This Row],[total count]]</f>
        <v>1.3844023996308261E-3</v>
      </c>
      <c r="AE42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3.125E-2</v>
      </c>
      <c r="AF42" s="2">
        <f>Table1[[#This Row],['[Cells'] c/ml]]*Table1[[#This Row],[GT%]]</f>
        <v>811259.80618366413</v>
      </c>
      <c r="AG42" s="1">
        <v>7</v>
      </c>
      <c r="AH42" s="4">
        <f>Table1[[#This Row],[FE_count]]/Table1[[#This Row],[total count]]</f>
        <v>3.2302722658052608E-3</v>
      </c>
      <c r="AI42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7.2916666666666671E-2</v>
      </c>
      <c r="AJ42" s="4">
        <f>Table1[[#This Row],[FE_count]]/(Table1[[#This Row],[Lympho_count]]+Table1[[#This Row],[FE_count]]+Table1[[#This Row],[CE_count]]+Table1[[#This Row],[Neutro_count]]+Table1[[#This Row],[Monocyte_count]]+Table1[[#This Row],[Basophil_count]])</f>
        <v>7.5268817204301078E-2</v>
      </c>
      <c r="AK42" s="2">
        <f>Table1[[#This Row],['[Cells'] c/ml]]*Table1[[#This Row],[FE%]]</f>
        <v>1892939.5477618829</v>
      </c>
      <c r="AL42" s="1">
        <v>8</v>
      </c>
      <c r="AM42" s="4">
        <f>Table1[[#This Row],[CE_count]]/Table1[[#This Row],[total count]]</f>
        <v>3.6917397323488694E-3</v>
      </c>
      <c r="AN42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8.3333333333333329E-2</v>
      </c>
      <c r="AO42" s="4">
        <f>Table1[[#This Row],[CE_count]]/(Table1[[#This Row],[Lympho_count]]+Table1[[#This Row],[FE_count]]+Table1[[#This Row],[CE_count]]+Table1[[#This Row],[Neutro_count]]+Table1[[#This Row],[Monocyte_count]]+Table1[[#This Row],[Basophil_count]])</f>
        <v>8.6021505376344093E-2</v>
      </c>
      <c r="AP42" s="2">
        <f>Table1[[#This Row],['[Cells'] c/ml]]*Table1[[#This Row],[CE%]]</f>
        <v>2163359.4831564375</v>
      </c>
      <c r="AQ42" s="1">
        <v>2</v>
      </c>
      <c r="AR42" s="4">
        <f>Table1[[#This Row],[Neutro_count]]/Table1[[#This Row],[total count]]</f>
        <v>9.2293493308721734E-4</v>
      </c>
      <c r="AS42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2.0833333333333332E-2</v>
      </c>
      <c r="AT42" s="4">
        <f>Table1[[#This Row],[Neutro_count]]/(Table1[[#This Row],[Lympho_count]]+Table1[[#This Row],[FE_count]]+Table1[[#This Row],[CE_count]]+Table1[[#This Row],[Neutro_count]]+Table1[[#This Row],[Monocyte_count]]+Table1[[#This Row],[Basophil_count]])</f>
        <v>2.1505376344086023E-2</v>
      </c>
      <c r="AU42" s="2">
        <f>Table1[[#This Row],['[Cells'] c/ml]]*Table1[[#This Row],[Neutro%]]</f>
        <v>540839.87078910938</v>
      </c>
      <c r="AV42" s="5">
        <v>3</v>
      </c>
      <c r="AW42" s="4">
        <f>Table1[[#This Row],[Monocyte_count]]/Table1[[#This Row],[total count]]</f>
        <v>1.3844023996308261E-3</v>
      </c>
      <c r="AX42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3.125E-2</v>
      </c>
      <c r="AY42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3.2258064516129031E-2</v>
      </c>
      <c r="AZ42" s="2">
        <f>Table1[[#This Row],['[Cells'] c/ml]]*Table1[[#This Row],[Monocyte%]]</f>
        <v>811259.80618366413</v>
      </c>
      <c r="BA42" s="1">
        <v>0</v>
      </c>
      <c r="BB42" s="4">
        <f>Table1[[#This Row],[Basophil_count]]/Table1[[#This Row],[total count]]</f>
        <v>0</v>
      </c>
      <c r="BC42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D42" s="4"/>
      <c r="BE42" s="2">
        <f>Table1[[#This Row],['[Cells'] c/ml]]*Table1[[#This Row],[Basophil%]]</f>
        <v>0</v>
      </c>
      <c r="BF42" s="1">
        <v>0</v>
      </c>
      <c r="BG42" s="4">
        <f>Table1[[#This Row],[immature_count]]/Table1[[#This Row],[total count]]</f>
        <v>0</v>
      </c>
      <c r="BH42" s="2">
        <f>Table1[[#This Row],['[Cells'] c/ml]]*Table1[[#This Row],[immature%]]</f>
        <v>0</v>
      </c>
      <c r="BI42" s="1">
        <v>0</v>
      </c>
      <c r="BJ42" s="4">
        <f>Table1[[#This Row],[mitosis_count]]/Table1[[#This Row],[total count]]</f>
        <v>0</v>
      </c>
      <c r="BK42" s="2">
        <f>Table1[[#This Row],['[Cells'] c/ml]]*Table1[[#This Row],[mitosis%]]</f>
        <v>0</v>
      </c>
      <c r="BL42" s="1">
        <v>0</v>
      </c>
      <c r="BM42" s="4">
        <f>Table1[[#This Row],[Abnormal_count]]/Table1[[#This Row],[total count]]</f>
        <v>0</v>
      </c>
      <c r="BN42" s="2">
        <f>Table1[[#This Row],['[Cells'] c/ml]]*Table1[[#This Row],[abnormal%]]</f>
        <v>0</v>
      </c>
    </row>
    <row r="43" spans="1:66" x14ac:dyDescent="0.25">
      <c r="H43" s="2"/>
      <c r="K43" s="4"/>
      <c r="L43" s="2"/>
      <c r="M43" s="4"/>
      <c r="O43" s="7"/>
      <c r="P43" s="2"/>
      <c r="R43" s="2"/>
      <c r="V43" s="4"/>
      <c r="W43" s="4"/>
      <c r="X43" s="4"/>
      <c r="Y43" s="2"/>
      <c r="AA43" s="4"/>
      <c r="AB43" s="2"/>
      <c r="AD43" s="4"/>
      <c r="AE43" s="4"/>
      <c r="AF43" s="2"/>
      <c r="AH43" s="4"/>
      <c r="AI43" s="4"/>
      <c r="AJ43" s="4"/>
      <c r="AK43" s="2"/>
      <c r="AM43" s="4"/>
      <c r="AN43" s="4"/>
      <c r="AO43" s="4"/>
      <c r="AP43" s="2"/>
      <c r="AR43" s="4"/>
      <c r="AS43" s="4"/>
      <c r="AT43" s="4"/>
      <c r="AU43" s="2"/>
      <c r="AV43" s="5"/>
      <c r="AW43" s="4"/>
      <c r="AX43" s="4"/>
      <c r="AY43" s="4"/>
      <c r="AZ43" s="2"/>
      <c r="BA43" s="1"/>
      <c r="BB43" s="4"/>
      <c r="BC43" s="4"/>
      <c r="BD43" s="4"/>
      <c r="BE43" s="2"/>
      <c r="BF43" s="1"/>
      <c r="BG43" s="4"/>
      <c r="BH43" s="2"/>
      <c r="BI43" s="1"/>
      <c r="BJ43" s="4"/>
      <c r="BK43" s="2"/>
      <c r="BM43" s="4"/>
      <c r="BN43" s="2"/>
    </row>
    <row r="44" spans="1:66" x14ac:dyDescent="0.25">
      <c r="A44" s="1" t="s">
        <v>35</v>
      </c>
      <c r="B44" s="1" t="s">
        <v>36</v>
      </c>
      <c r="C44" s="1" t="s">
        <v>10</v>
      </c>
      <c r="D44" s="1" t="s">
        <v>37</v>
      </c>
      <c r="E44" s="1">
        <v>6</v>
      </c>
      <c r="F44" s="3" t="s">
        <v>20</v>
      </c>
      <c r="G44" s="1">
        <v>0</v>
      </c>
      <c r="H44" s="2">
        <v>601750000</v>
      </c>
      <c r="I44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2283</v>
      </c>
      <c r="J44" s="1">
        <v>2135</v>
      </c>
      <c r="K44" s="4">
        <f t="shared" ref="K44:K57" si="3">J44/SUM(J44+U44,Z44,AC44,AG44,AL44,AQ44,BA44,BF44,BI44)</f>
        <v>0.93681439227731467</v>
      </c>
      <c r="L44" s="2">
        <f>Table1[[#This Row],['[Cells'] c/ml]]*Table1[[#This Row],[Rbc%]]</f>
        <v>563728060.55287409</v>
      </c>
      <c r="M44" s="4">
        <f>SUM(Table1[[#This Row],[Lymoph%]],Table1[[#This Row],[FE%]],Table1[[#This Row],[GT%]],Table1[[#This Row],[CE%]],Table1[[#This Row],[Neutro%]],Table1[[#This Row],[Basophil%]])</f>
        <v>2.978537012702584E-2</v>
      </c>
      <c r="N44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35</v>
      </c>
      <c r="O44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12</v>
      </c>
      <c r="P44" s="2">
        <f>Table1[[#This Row],['[Cells'] c/ml]]*Table1[[#This Row],[granulocyte%]]</f>
        <v>17923346.473937798</v>
      </c>
      <c r="Q44" s="4">
        <f>SUM(Table1[[#This Row],[Lymoph%]],Table1[[#This Row],[GT%]],Table1[[#This Row],[FE%]],Table1[[#This Row],[CE%]],Table1[[#This Row],[Neutro%]],Table1[[#This Row],[Basophil%]],Table1[[#This Row],[Monocyte%]])</f>
        <v>3.0661410424879548E-2</v>
      </c>
      <c r="R44" s="2">
        <f>Table1[[#This Row],['[Cells'] c/ml]]*Table1[[#This Row],[wbc%]]</f>
        <v>18450503.723171268</v>
      </c>
      <c r="S44" s="7">
        <f>Table1[[#This Row],['[wbc']]]/Table1[[#This Row],['[Granulocyte']]]</f>
        <v>1.0294117647058827</v>
      </c>
      <c r="T44" s="7">
        <f>Table1[[#This Row],['[Rbc']]]/Table1[[#This Row],['[wbc']]]</f>
        <v>30.553532250987274</v>
      </c>
      <c r="U44" s="1">
        <v>33</v>
      </c>
      <c r="V44" s="4">
        <f>Table1[[#This Row],[Lympho_count]]/Table1[[#This Row],[total count]]</f>
        <v>1.4454664914586071E-2</v>
      </c>
      <c r="W44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0.47142857142857142</v>
      </c>
      <c r="X44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0.7021276595744681</v>
      </c>
      <c r="Y44" s="2">
        <f>Table1[[#This Row],['[Cells'] c/ml]]*Table1[[#This Row],[Lymoph%]]</f>
        <v>8698094.6123521682</v>
      </c>
      <c r="Z44" s="1">
        <v>65</v>
      </c>
      <c r="AA44" s="4">
        <f>Table1[[#This Row],[Thrombo_count]]/Table1[[#This Row],[total count]]</f>
        <v>2.8471309680245291E-2</v>
      </c>
      <c r="AB44" s="2">
        <f>Table1[[#This Row],['[Cells'] c/ml]]*Table1[[#This Row],[Thrombo%]]</f>
        <v>17132610.600087605</v>
      </c>
      <c r="AC44" s="1">
        <v>23</v>
      </c>
      <c r="AD44" s="4">
        <f>Table1[[#This Row],[GT_count]]/Table1[[#This Row],[total count]]</f>
        <v>1.0074463425317565E-2</v>
      </c>
      <c r="AE44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0.32857142857142857</v>
      </c>
      <c r="AF44" s="2">
        <f>Table1[[#This Row],['[Cells'] c/ml]]*Table1[[#This Row],[GT%]]</f>
        <v>6062308.3661848446</v>
      </c>
      <c r="AG44" s="1">
        <v>3</v>
      </c>
      <c r="AH44" s="4">
        <f>Table1[[#This Row],[FE_count]]/Table1[[#This Row],[total count]]</f>
        <v>1.3140604467805519E-3</v>
      </c>
      <c r="AI44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4.2857142857142858E-2</v>
      </c>
      <c r="AJ44" s="4">
        <f>Table1[[#This Row],[FE_count]]/(Table1[[#This Row],[Lympho_count]]+Table1[[#This Row],[FE_count]]+Table1[[#This Row],[CE_count]]+Table1[[#This Row],[Neutro_count]]+Table1[[#This Row],[Monocyte_count]]+Table1[[#This Row],[Basophil_count]])</f>
        <v>6.3829787234042548E-2</v>
      </c>
      <c r="AK44" s="2">
        <f>Table1[[#This Row],['[Cells'] c/ml]]*Table1[[#This Row],[FE%]]</f>
        <v>790735.87385019718</v>
      </c>
      <c r="AL44" s="1">
        <v>9</v>
      </c>
      <c r="AM44" s="4">
        <f>Table1[[#This Row],[CE_count]]/Table1[[#This Row],[total count]]</f>
        <v>3.9421813403416554E-3</v>
      </c>
      <c r="AN44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0.12857142857142856</v>
      </c>
      <c r="AO44" s="4">
        <f>Table1[[#This Row],[CE_count]]/(Table1[[#This Row],[Lympho_count]]+Table1[[#This Row],[FE_count]]+Table1[[#This Row],[CE_count]]+Table1[[#This Row],[Neutro_count]]+Table1[[#This Row],[Monocyte_count]]+Table1[[#This Row],[Basophil_count]])</f>
        <v>0.19148936170212766</v>
      </c>
      <c r="AP44" s="2">
        <f>Table1[[#This Row],['[Cells'] c/ml]]*Table1[[#This Row],[CE%]]</f>
        <v>2372207.6215505912</v>
      </c>
      <c r="AQ44" s="1">
        <v>0</v>
      </c>
      <c r="AR44" s="4">
        <f>Table1[[#This Row],[Neutro_count]]/Table1[[#This Row],[total count]]</f>
        <v>0</v>
      </c>
      <c r="AS44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0</v>
      </c>
      <c r="AT44" s="4">
        <f>Table1[[#This Row],[Neutro_count]]/(Table1[[#This Row],[Lympho_count]]+Table1[[#This Row],[FE_count]]+Table1[[#This Row],[CE_count]]+Table1[[#This Row],[Neutro_count]]+Table1[[#This Row],[Monocyte_count]]+Table1[[#This Row],[Basophil_count]])</f>
        <v>0</v>
      </c>
      <c r="AU44" s="2">
        <f>Table1[[#This Row],['[Cells'] c/ml]]*Table1[[#This Row],[Neutro%]]</f>
        <v>0</v>
      </c>
      <c r="AV44" s="5">
        <v>2</v>
      </c>
      <c r="AW44" s="4">
        <f>Table1[[#This Row],[Monocyte_count]]/Table1[[#This Row],[total count]]</f>
        <v>8.7604029785370125E-4</v>
      </c>
      <c r="AX44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2.8571428571428571E-2</v>
      </c>
      <c r="AY44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4.2553191489361701E-2</v>
      </c>
      <c r="AZ44" s="2">
        <f>Table1[[#This Row],['[Cells'] c/ml]]*Table1[[#This Row],[Monocyte%]]</f>
        <v>527157.24923346471</v>
      </c>
      <c r="BA44" s="1">
        <v>0</v>
      </c>
      <c r="BB44" s="4">
        <f>Table1[[#This Row],[Basophil_count]]/Table1[[#This Row],[total count]]</f>
        <v>0</v>
      </c>
      <c r="BC44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D44" s="4"/>
      <c r="BE44" s="2">
        <f>Table1[[#This Row],['[Cells'] c/ml]]*Table1[[#This Row],[Basophil%]]</f>
        <v>0</v>
      </c>
      <c r="BF44" s="1">
        <v>7</v>
      </c>
      <c r="BG44" s="4">
        <f>Table1[[#This Row],[immature_count]]/Table1[[#This Row],[total count]]</f>
        <v>3.0661410424879547E-3</v>
      </c>
      <c r="BH44" s="2">
        <f>Table1[[#This Row],['[Cells'] c/ml]]*Table1[[#This Row],[immature%]]</f>
        <v>1845050.3723171267</v>
      </c>
      <c r="BI44" s="1">
        <v>4</v>
      </c>
      <c r="BJ44" s="4">
        <f>Table1[[#This Row],[mitosis_count]]/Table1[[#This Row],[total count]]</f>
        <v>1.7520805957074025E-3</v>
      </c>
      <c r="BK44" s="2">
        <f>Table1[[#This Row],['[Cells'] c/ml]]*Table1[[#This Row],[mitosis%]]</f>
        <v>1054314.4984669294</v>
      </c>
      <c r="BL44" s="1">
        <v>2</v>
      </c>
      <c r="BM44" s="4">
        <f>Table1[[#This Row],[Abnormal_count]]/Table1[[#This Row],[total count]]</f>
        <v>8.7604029785370125E-4</v>
      </c>
      <c r="BN44" s="2">
        <f>Table1[[#This Row],['[Cells'] c/ml]]*Table1[[#This Row],[abnormal%]]</f>
        <v>527157.24923346471</v>
      </c>
    </row>
    <row r="45" spans="1:66" x14ac:dyDescent="0.25">
      <c r="A45" s="1" t="s">
        <v>35</v>
      </c>
      <c r="B45" s="1" t="s">
        <v>38</v>
      </c>
      <c r="C45" s="1" t="s">
        <v>10</v>
      </c>
      <c r="D45" s="1" t="s">
        <v>37</v>
      </c>
      <c r="E45" s="1">
        <v>6</v>
      </c>
      <c r="F45" s="3" t="s">
        <v>20</v>
      </c>
      <c r="G45" s="1">
        <v>0</v>
      </c>
      <c r="H45" s="2">
        <v>370500000</v>
      </c>
      <c r="I45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2288</v>
      </c>
      <c r="J45" s="1">
        <v>2120</v>
      </c>
      <c r="K45" s="4">
        <f t="shared" si="3"/>
        <v>0.92819614711033271</v>
      </c>
      <c r="L45" s="2">
        <f>Table1[[#This Row],['[Cells'] c/ml]]*Table1[[#This Row],[Rbc%]]</f>
        <v>343896672.50437826</v>
      </c>
      <c r="M45" s="4">
        <f>SUM(Table1[[#This Row],[Lymoph%]],Table1[[#This Row],[FE%]],Table1[[#This Row],[GT%]],Table1[[#This Row],[CE%]],Table1[[#This Row],[Neutro%]],Table1[[#This Row],[Basophil%]])</f>
        <v>3.4090909090909088E-2</v>
      </c>
      <c r="N45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33.074074074074076</v>
      </c>
      <c r="O45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10.103448275862069</v>
      </c>
      <c r="P45" s="2">
        <f>Table1[[#This Row],['[Cells'] c/ml]]*Table1[[#This Row],[granulocyte%]]</f>
        <v>12630681.818181816</v>
      </c>
      <c r="Q45" s="4">
        <f>SUM(Table1[[#This Row],[Lymoph%]],Table1[[#This Row],[GT%]],Table1[[#This Row],[FE%]],Table1[[#This Row],[CE%]],Table1[[#This Row],[Neutro%]],Table1[[#This Row],[Basophil%]],Table1[[#This Row],[Monocyte%]])</f>
        <v>3.5402097902097897E-2</v>
      </c>
      <c r="R45" s="2">
        <f>Table1[[#This Row],['[Cells'] c/ml]]*Table1[[#This Row],[wbc%]]</f>
        <v>13116477.272727272</v>
      </c>
      <c r="S45" s="7">
        <f>Table1[[#This Row],['[wbc']]]/Table1[[#This Row],['[Granulocyte']]]</f>
        <v>1.0384615384615385</v>
      </c>
      <c r="T45" s="7">
        <f>Table1[[#This Row],['[Rbc']]]/Table1[[#This Row],['[wbc']]]</f>
        <v>26.218676352943721</v>
      </c>
      <c r="U45" s="1">
        <v>38</v>
      </c>
      <c r="V45" s="4">
        <f>Table1[[#This Row],[Lympho_count]]/Table1[[#This Row],[total count]]</f>
        <v>1.6608391608391608E-2</v>
      </c>
      <c r="W45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0.46913580246913578</v>
      </c>
      <c r="X45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0.65517241379310343</v>
      </c>
      <c r="Y45" s="2">
        <f>Table1[[#This Row],['[Cells'] c/ml]]*Table1[[#This Row],[Lymoph%]]</f>
        <v>6153409.0909090908</v>
      </c>
      <c r="Z45" s="1">
        <v>86</v>
      </c>
      <c r="AA45" s="4">
        <f>Table1[[#This Row],[Thrombo_count]]/Table1[[#This Row],[total count]]</f>
        <v>3.7587412587412584E-2</v>
      </c>
      <c r="AB45" s="2">
        <f>Table1[[#This Row],['[Cells'] c/ml]]*Table1[[#This Row],[Thrombo%]]</f>
        <v>13926136.363636363</v>
      </c>
      <c r="AC45" s="1">
        <v>23</v>
      </c>
      <c r="AD45" s="4">
        <f>Table1[[#This Row],[GT_count]]/Table1[[#This Row],[total count]]</f>
        <v>1.0052447552447552E-2</v>
      </c>
      <c r="AE45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0.2839506172839506</v>
      </c>
      <c r="AF45" s="2">
        <f>Table1[[#This Row],['[Cells'] c/ml]]*Table1[[#This Row],[GT%]]</f>
        <v>3724431.8181818179</v>
      </c>
      <c r="AG45" s="1">
        <v>4</v>
      </c>
      <c r="AH45" s="4">
        <f>Table1[[#This Row],[FE_count]]/Table1[[#This Row],[total count]]</f>
        <v>1.7482517482517483E-3</v>
      </c>
      <c r="AI45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4.9382716049382713E-2</v>
      </c>
      <c r="AJ45" s="4">
        <f>Table1[[#This Row],[FE_count]]/(Table1[[#This Row],[Lympho_count]]+Table1[[#This Row],[FE_count]]+Table1[[#This Row],[CE_count]]+Table1[[#This Row],[Neutro_count]]+Table1[[#This Row],[Monocyte_count]]+Table1[[#This Row],[Basophil_count]])</f>
        <v>6.8965517241379309E-2</v>
      </c>
      <c r="AK45" s="2">
        <f>Table1[[#This Row],['[Cells'] c/ml]]*Table1[[#This Row],[FE%]]</f>
        <v>647727.27272727271</v>
      </c>
      <c r="AL45" s="1">
        <v>6</v>
      </c>
      <c r="AM45" s="4">
        <f>Table1[[#This Row],[CE_count]]/Table1[[#This Row],[total count]]</f>
        <v>2.6223776223776225E-3</v>
      </c>
      <c r="AN45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7.407407407407407E-2</v>
      </c>
      <c r="AO45" s="4">
        <f>Table1[[#This Row],[CE_count]]/(Table1[[#This Row],[Lympho_count]]+Table1[[#This Row],[FE_count]]+Table1[[#This Row],[CE_count]]+Table1[[#This Row],[Neutro_count]]+Table1[[#This Row],[Monocyte_count]]+Table1[[#This Row],[Basophil_count]])</f>
        <v>0.10344827586206896</v>
      </c>
      <c r="AP45" s="2">
        <f>Table1[[#This Row],['[Cells'] c/ml]]*Table1[[#This Row],[CE%]]</f>
        <v>971590.90909090918</v>
      </c>
      <c r="AQ45" s="1">
        <v>6</v>
      </c>
      <c r="AR45" s="4">
        <f>Table1[[#This Row],[Neutro_count]]/Table1[[#This Row],[total count]]</f>
        <v>2.6223776223776225E-3</v>
      </c>
      <c r="AS45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7.407407407407407E-2</v>
      </c>
      <c r="AT45" s="4">
        <f>Table1[[#This Row],[Neutro_count]]/(Table1[[#This Row],[Lympho_count]]+Table1[[#This Row],[FE_count]]+Table1[[#This Row],[CE_count]]+Table1[[#This Row],[Neutro_count]]+Table1[[#This Row],[Monocyte_count]]+Table1[[#This Row],[Basophil_count]])</f>
        <v>0.10344827586206896</v>
      </c>
      <c r="AU45" s="2">
        <f>Table1[[#This Row],['[Cells'] c/ml]]*Table1[[#This Row],[Neutro%]]</f>
        <v>971590.90909090918</v>
      </c>
      <c r="AV45" s="5">
        <v>3</v>
      </c>
      <c r="AW45" s="4">
        <f>Table1[[#This Row],[Monocyte_count]]/Table1[[#This Row],[total count]]</f>
        <v>1.3111888111888112E-3</v>
      </c>
      <c r="AX45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3.7037037037037035E-2</v>
      </c>
      <c r="AY45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5.1724137931034482E-2</v>
      </c>
      <c r="AZ45" s="2">
        <f>Table1[[#This Row],['[Cells'] c/ml]]*Table1[[#This Row],[Monocyte%]]</f>
        <v>485795.45454545459</v>
      </c>
      <c r="BA45" s="1">
        <v>1</v>
      </c>
      <c r="BB45" s="4">
        <f>Table1[[#This Row],[Basophil_count]]/Table1[[#This Row],[total count]]</f>
        <v>4.3706293706293706E-4</v>
      </c>
      <c r="BC45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1.7241379310344827E-2</v>
      </c>
      <c r="BD45" s="4"/>
      <c r="BE45" s="2">
        <f>Table1[[#This Row],['[Cells'] c/ml]]*Table1[[#This Row],[Basophil%]]</f>
        <v>161931.81818181818</v>
      </c>
      <c r="BF45" s="1">
        <v>0</v>
      </c>
      <c r="BG45" s="4">
        <f>Table1[[#This Row],[immature_count]]/Table1[[#This Row],[total count]]</f>
        <v>0</v>
      </c>
      <c r="BH45" s="2">
        <f>Table1[[#This Row],['[Cells'] c/ml]]*Table1[[#This Row],[immature%]]</f>
        <v>0</v>
      </c>
      <c r="BI45" s="1">
        <v>0</v>
      </c>
      <c r="BJ45" s="4">
        <f>Table1[[#This Row],[mitosis_count]]/Table1[[#This Row],[total count]]</f>
        <v>0</v>
      </c>
      <c r="BK45" s="2">
        <f>Table1[[#This Row],['[Cells'] c/ml]]*Table1[[#This Row],[mitosis%]]</f>
        <v>0</v>
      </c>
      <c r="BL45" s="1">
        <v>1</v>
      </c>
      <c r="BM45" s="4">
        <f>Table1[[#This Row],[Abnormal_count]]/Table1[[#This Row],[total count]]</f>
        <v>4.3706293706293706E-4</v>
      </c>
      <c r="BN45" s="2">
        <f>Table1[[#This Row],['[Cells'] c/ml]]*Table1[[#This Row],[abnormal%]]</f>
        <v>161931.81818181818</v>
      </c>
    </row>
    <row r="46" spans="1:66" x14ac:dyDescent="0.25">
      <c r="A46" s="1" t="s">
        <v>35</v>
      </c>
      <c r="B46" s="1" t="s">
        <v>39</v>
      </c>
      <c r="C46" s="1" t="s">
        <v>33</v>
      </c>
      <c r="D46" s="1" t="s">
        <v>37</v>
      </c>
      <c r="E46" s="1">
        <v>6</v>
      </c>
      <c r="F46" s="3" t="s">
        <v>16</v>
      </c>
      <c r="G46" s="1" t="s">
        <v>16</v>
      </c>
      <c r="H46" s="2">
        <v>511750000</v>
      </c>
      <c r="I46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2370</v>
      </c>
      <c r="J46" s="1">
        <v>2244</v>
      </c>
      <c r="K46" s="4">
        <f t="shared" si="3"/>
        <v>0.94723512030392576</v>
      </c>
      <c r="L46" s="2">
        <f>Table1[[#This Row],['[Cells'] c/ml]]*Table1[[#This Row],[Rbc%]]</f>
        <v>484747572.815534</v>
      </c>
      <c r="M46" s="4">
        <f>SUM(Table1[[#This Row],[Lymoph%]],Table1[[#This Row],[FE%]],Table1[[#This Row],[GT%]],Table1[[#This Row],[CE%]],Table1[[#This Row],[Neutro%]],Table1[[#This Row],[Basophil%]])</f>
        <v>3.1645569620253167E-2</v>
      </c>
      <c r="N46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38.065789473684212</v>
      </c>
      <c r="O46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21.084745762711865</v>
      </c>
      <c r="P46" s="2">
        <f>Table1[[#This Row],['[Cells'] c/ml]]*Table1[[#This Row],[granulocyte%]]</f>
        <v>16194620.253164558</v>
      </c>
      <c r="Q46" s="4">
        <f>SUM(Table1[[#This Row],[Lymoph%]],Table1[[#This Row],[GT%]],Table1[[#This Row],[FE%]],Table1[[#This Row],[CE%]],Table1[[#This Row],[Neutro%]],Table1[[#This Row],[Basophil%]],Table1[[#This Row],[Monocyte%]])</f>
        <v>3.2067510548523206E-2</v>
      </c>
      <c r="R46" s="2">
        <f>Table1[[#This Row],['[Cells'] c/ml]]*Table1[[#This Row],[wbc%]]</f>
        <v>16410548.523206752</v>
      </c>
      <c r="S46" s="7">
        <f>Table1[[#This Row],['[wbc']]]/Table1[[#This Row],['[Granulocyte']]]</f>
        <v>1.0133333333333334</v>
      </c>
      <c r="T46" s="7">
        <f>Table1[[#This Row],['[Rbc']]]/Table1[[#This Row],['[wbc']]]</f>
        <v>29.538779409477684</v>
      </c>
      <c r="U46" s="1">
        <v>32</v>
      </c>
      <c r="V46" s="4">
        <f>Table1[[#This Row],[Lympho_count]]/Table1[[#This Row],[total count]]</f>
        <v>1.350210970464135E-2</v>
      </c>
      <c r="W46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0.42105263157894735</v>
      </c>
      <c r="X46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0.5423728813559322</v>
      </c>
      <c r="Y46" s="2">
        <f>Table1[[#This Row],['[Cells'] c/ml]]*Table1[[#This Row],[Lymoph%]]</f>
        <v>6909704.6413502106</v>
      </c>
      <c r="Z46" s="1">
        <v>49</v>
      </c>
      <c r="AA46" s="4">
        <f>Table1[[#This Row],[Thrombo_count]]/Table1[[#This Row],[total count]]</f>
        <v>2.0675105485232069E-2</v>
      </c>
      <c r="AB46" s="2">
        <f>Table1[[#This Row],['[Cells'] c/ml]]*Table1[[#This Row],[Thrombo%]]</f>
        <v>10580485.23206751</v>
      </c>
      <c r="AC46" s="1">
        <v>17</v>
      </c>
      <c r="AD46" s="4">
        <f>Table1[[#This Row],[GT_count]]/Table1[[#This Row],[total count]]</f>
        <v>7.1729957805907177E-3</v>
      </c>
      <c r="AE46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0.22368421052631579</v>
      </c>
      <c r="AF46" s="2">
        <f>Table1[[#This Row],['[Cells'] c/ml]]*Table1[[#This Row],[GT%]]</f>
        <v>3670780.5907172998</v>
      </c>
      <c r="AG46" s="1">
        <v>9</v>
      </c>
      <c r="AH46" s="4">
        <f>Table1[[#This Row],[FE_count]]/Table1[[#This Row],[total count]]</f>
        <v>3.7974683544303796E-3</v>
      </c>
      <c r="AI46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0.11842105263157894</v>
      </c>
      <c r="AJ46" s="4">
        <f>Table1[[#This Row],[FE_count]]/(Table1[[#This Row],[Lympho_count]]+Table1[[#This Row],[FE_count]]+Table1[[#This Row],[CE_count]]+Table1[[#This Row],[Neutro_count]]+Table1[[#This Row],[Monocyte_count]]+Table1[[#This Row],[Basophil_count]])</f>
        <v>0.15254237288135594</v>
      </c>
      <c r="AK46" s="2">
        <f>Table1[[#This Row],['[Cells'] c/ml]]*Table1[[#This Row],[FE%]]</f>
        <v>1943354.4303797467</v>
      </c>
      <c r="AL46" s="1">
        <v>12</v>
      </c>
      <c r="AM46" s="4">
        <f>Table1[[#This Row],[CE_count]]/Table1[[#This Row],[total count]]</f>
        <v>5.0632911392405064E-3</v>
      </c>
      <c r="AN46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0.15789473684210525</v>
      </c>
      <c r="AO46" s="4">
        <f>Table1[[#This Row],[CE_count]]/(Table1[[#This Row],[Lympho_count]]+Table1[[#This Row],[FE_count]]+Table1[[#This Row],[CE_count]]+Table1[[#This Row],[Neutro_count]]+Table1[[#This Row],[Monocyte_count]]+Table1[[#This Row],[Basophil_count]])</f>
        <v>0.20338983050847459</v>
      </c>
      <c r="AP46" s="2">
        <f>Table1[[#This Row],['[Cells'] c/ml]]*Table1[[#This Row],[CE%]]</f>
        <v>2591139.2405063291</v>
      </c>
      <c r="AQ46" s="1">
        <v>5</v>
      </c>
      <c r="AR46" s="4">
        <f>Table1[[#This Row],[Neutro_count]]/Table1[[#This Row],[total count]]</f>
        <v>2.1097046413502108E-3</v>
      </c>
      <c r="AS46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6.5789473684210523E-2</v>
      </c>
      <c r="AT46" s="4">
        <f>Table1[[#This Row],[Neutro_count]]/(Table1[[#This Row],[Lympho_count]]+Table1[[#This Row],[FE_count]]+Table1[[#This Row],[CE_count]]+Table1[[#This Row],[Neutro_count]]+Table1[[#This Row],[Monocyte_count]]+Table1[[#This Row],[Basophil_count]])</f>
        <v>8.4745762711864403E-2</v>
      </c>
      <c r="AU46" s="2">
        <f>Table1[[#This Row],['[Cells'] c/ml]]*Table1[[#This Row],[Neutro%]]</f>
        <v>1079641.3502109703</v>
      </c>
      <c r="AV46" s="5">
        <v>1</v>
      </c>
      <c r="AW46" s="4">
        <f>Table1[[#This Row],[Monocyte_count]]/Table1[[#This Row],[total count]]</f>
        <v>4.219409282700422E-4</v>
      </c>
      <c r="AX46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1.3157894736842105E-2</v>
      </c>
      <c r="AY46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1.6949152542372881E-2</v>
      </c>
      <c r="AZ46" s="2">
        <f>Table1[[#This Row],['[Cells'] c/ml]]*Table1[[#This Row],[Monocyte%]]</f>
        <v>215928.27004219408</v>
      </c>
      <c r="BA46" s="1">
        <v>0</v>
      </c>
      <c r="BB46" s="4">
        <f>Table1[[#This Row],[Basophil_count]]/Table1[[#This Row],[total count]]</f>
        <v>0</v>
      </c>
      <c r="BC46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D46" s="4"/>
      <c r="BE46" s="2">
        <f>Table1[[#This Row],['[Cells'] c/ml]]*Table1[[#This Row],[Basophil%]]</f>
        <v>0</v>
      </c>
      <c r="BF46" s="1">
        <v>0</v>
      </c>
      <c r="BG46" s="4">
        <f>Table1[[#This Row],[immature_count]]/Table1[[#This Row],[total count]]</f>
        <v>0</v>
      </c>
      <c r="BH46" s="2">
        <f>Table1[[#This Row],['[Cells'] c/ml]]*Table1[[#This Row],[immature%]]</f>
        <v>0</v>
      </c>
      <c r="BI46" s="1">
        <v>1</v>
      </c>
      <c r="BJ46" s="4">
        <f>Table1[[#This Row],[mitosis_count]]/Table1[[#This Row],[total count]]</f>
        <v>4.219409282700422E-4</v>
      </c>
      <c r="BK46" s="2">
        <f>Table1[[#This Row],['[Cells'] c/ml]]*Table1[[#This Row],[mitosis%]]</f>
        <v>215928.27004219408</v>
      </c>
      <c r="BL46" s="1">
        <v>0</v>
      </c>
      <c r="BM46" s="4">
        <f>Table1[[#This Row],[Abnormal_count]]/Table1[[#This Row],[total count]]</f>
        <v>0</v>
      </c>
      <c r="BN46" s="2">
        <f>Table1[[#This Row],['[Cells'] c/ml]]*Table1[[#This Row],[abnormal%]]</f>
        <v>0</v>
      </c>
    </row>
    <row r="47" spans="1:66" x14ac:dyDescent="0.25">
      <c r="A47" s="1" t="s">
        <v>35</v>
      </c>
      <c r="B47" s="1" t="s">
        <v>40</v>
      </c>
      <c r="C47" s="1" t="s">
        <v>15</v>
      </c>
      <c r="D47" s="1" t="s">
        <v>37</v>
      </c>
      <c r="E47" s="1">
        <v>6</v>
      </c>
      <c r="F47" s="3" t="s">
        <v>16</v>
      </c>
      <c r="G47" s="1" t="s">
        <v>16</v>
      </c>
      <c r="H47" s="2">
        <v>545250000</v>
      </c>
      <c r="I47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2211</v>
      </c>
      <c r="J47" s="1">
        <v>2061</v>
      </c>
      <c r="K47" s="4">
        <f t="shared" si="3"/>
        <v>0.93300135808057949</v>
      </c>
      <c r="L47" s="2">
        <f>Table1[[#This Row],['[Cells'] c/ml]]*Table1[[#This Row],[Rbc%]]</f>
        <v>508718990.49343598</v>
      </c>
      <c r="M47" s="4">
        <f>SUM(Table1[[#This Row],[Lymoph%]],Table1[[#This Row],[FE%]],Table1[[#This Row],[GT%]],Table1[[#This Row],[CE%]],Table1[[#This Row],[Neutro%]],Table1[[#This Row],[Basophil%]])</f>
        <v>3.70872908186341E-2</v>
      </c>
      <c r="N47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38</v>
      </c>
      <c r="O47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16</v>
      </c>
      <c r="P47" s="2">
        <f>Table1[[#This Row],['[Cells'] c/ml]]*Table1[[#This Row],[granulocyte%]]</f>
        <v>20221845.318860244</v>
      </c>
      <c r="Q47" s="4">
        <f>SUM(Table1[[#This Row],[Lymoph%]],Table1[[#This Row],[GT%]],Table1[[#This Row],[FE%]],Table1[[#This Row],[CE%]],Table1[[#This Row],[Neutro%]],Table1[[#This Row],[Basophil%]],Table1[[#This Row],[Monocyte%]])</f>
        <v>3.70872908186341E-2</v>
      </c>
      <c r="R47" s="2">
        <f>Table1[[#This Row],['[Cells'] c/ml]]*Table1[[#This Row],[wbc%]]</f>
        <v>20221845.318860244</v>
      </c>
      <c r="S47" s="7">
        <f>Table1[[#This Row],['[wbc']]]/Table1[[#This Row],['[Granulocyte']]]</f>
        <v>1</v>
      </c>
      <c r="T47" s="7">
        <f>Table1[[#This Row],['[Rbc']]]/Table1[[#This Row],['[wbc']]]</f>
        <v>25.15690247214831</v>
      </c>
      <c r="U47" s="1">
        <v>44</v>
      </c>
      <c r="V47" s="4">
        <f>Table1[[#This Row],[Lympho_count]]/Table1[[#This Row],[total count]]</f>
        <v>1.9900497512437811E-2</v>
      </c>
      <c r="W47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0.53658536585365857</v>
      </c>
      <c r="X47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0.73333333333333328</v>
      </c>
      <c r="Y47" s="2">
        <f>Table1[[#This Row],['[Cells'] c/ml]]*Table1[[#This Row],[Lymoph%]]</f>
        <v>10850746.268656716</v>
      </c>
      <c r="Z47" s="1">
        <v>62</v>
      </c>
      <c r="AA47" s="4">
        <f>Table1[[#This Row],[Thrombo_count]]/Table1[[#This Row],[total count]]</f>
        <v>2.8041610131162371E-2</v>
      </c>
      <c r="AB47" s="2">
        <f>Table1[[#This Row],['[Cells'] c/ml]]*Table1[[#This Row],[Thrombo%]]</f>
        <v>15289687.924016282</v>
      </c>
      <c r="AC47" s="1">
        <v>22</v>
      </c>
      <c r="AD47" s="4">
        <f>Table1[[#This Row],[GT_count]]/Table1[[#This Row],[total count]]</f>
        <v>9.9502487562189053E-3</v>
      </c>
      <c r="AE47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0.26829268292682928</v>
      </c>
      <c r="AF47" s="2">
        <f>Table1[[#This Row],['[Cells'] c/ml]]*Table1[[#This Row],[GT%]]</f>
        <v>5425373.1343283579</v>
      </c>
      <c r="AG47" s="1">
        <v>2</v>
      </c>
      <c r="AH47" s="4">
        <f>Table1[[#This Row],[FE_count]]/Table1[[#This Row],[total count]]</f>
        <v>9.0456806874717323E-4</v>
      </c>
      <c r="AI47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2.4390243902439025E-2</v>
      </c>
      <c r="AJ47" s="4">
        <f>Table1[[#This Row],[FE_count]]/(Table1[[#This Row],[Lympho_count]]+Table1[[#This Row],[FE_count]]+Table1[[#This Row],[CE_count]]+Table1[[#This Row],[Neutro_count]]+Table1[[#This Row],[Monocyte_count]]+Table1[[#This Row],[Basophil_count]])</f>
        <v>3.3333333333333333E-2</v>
      </c>
      <c r="AK47" s="2">
        <f>Table1[[#This Row],['[Cells'] c/ml]]*Table1[[#This Row],[FE%]]</f>
        <v>493215.73948439618</v>
      </c>
      <c r="AL47" s="1">
        <v>14</v>
      </c>
      <c r="AM47" s="4">
        <f>Table1[[#This Row],[CE_count]]/Table1[[#This Row],[total count]]</f>
        <v>6.3319764812302124E-3</v>
      </c>
      <c r="AN47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0.17073170731707318</v>
      </c>
      <c r="AO47" s="4">
        <f>Table1[[#This Row],[CE_count]]/(Table1[[#This Row],[Lympho_count]]+Table1[[#This Row],[FE_count]]+Table1[[#This Row],[CE_count]]+Table1[[#This Row],[Neutro_count]]+Table1[[#This Row],[Monocyte_count]]+Table1[[#This Row],[Basophil_count]])</f>
        <v>0.23333333333333334</v>
      </c>
      <c r="AP47" s="2">
        <f>Table1[[#This Row],['[Cells'] c/ml]]*Table1[[#This Row],[CE%]]</f>
        <v>3452510.1763907732</v>
      </c>
      <c r="AQ47" s="1">
        <v>0</v>
      </c>
      <c r="AR47" s="4">
        <f>Table1[[#This Row],[Neutro_count]]/Table1[[#This Row],[total count]]</f>
        <v>0</v>
      </c>
      <c r="AS47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0</v>
      </c>
      <c r="AT47" s="4">
        <f>Table1[[#This Row],[Neutro_count]]/(Table1[[#This Row],[Lympho_count]]+Table1[[#This Row],[FE_count]]+Table1[[#This Row],[CE_count]]+Table1[[#This Row],[Neutro_count]]+Table1[[#This Row],[Monocyte_count]]+Table1[[#This Row],[Basophil_count]])</f>
        <v>0</v>
      </c>
      <c r="AU47" s="2">
        <f>Table1[[#This Row],['[Cells'] c/ml]]*Table1[[#This Row],[Neutro%]]</f>
        <v>0</v>
      </c>
      <c r="AV47" s="5">
        <v>0</v>
      </c>
      <c r="AW47" s="4">
        <f>Table1[[#This Row],[Monocyte_count]]/Table1[[#This Row],[total count]]</f>
        <v>0</v>
      </c>
      <c r="AX47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0</v>
      </c>
      <c r="AY47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0</v>
      </c>
      <c r="AZ47" s="2">
        <f>Table1[[#This Row],['[Cells'] c/ml]]*Table1[[#This Row],[Monocyte%]]</f>
        <v>0</v>
      </c>
      <c r="BA47" s="1">
        <v>0</v>
      </c>
      <c r="BB47" s="4">
        <f>Table1[[#This Row],[Basophil_count]]/Table1[[#This Row],[total count]]</f>
        <v>0</v>
      </c>
      <c r="BC47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D47" s="4"/>
      <c r="BE47" s="2">
        <f>Table1[[#This Row],['[Cells'] c/ml]]*Table1[[#This Row],[Basophil%]]</f>
        <v>0</v>
      </c>
      <c r="BF47" s="1">
        <v>2</v>
      </c>
      <c r="BG47" s="4">
        <f>Table1[[#This Row],[immature_count]]/Table1[[#This Row],[total count]]</f>
        <v>9.0456806874717323E-4</v>
      </c>
      <c r="BH47" s="2">
        <f>Table1[[#This Row],['[Cells'] c/ml]]*Table1[[#This Row],[immature%]]</f>
        <v>493215.73948439618</v>
      </c>
      <c r="BI47" s="1">
        <v>2</v>
      </c>
      <c r="BJ47" s="4">
        <f>Table1[[#This Row],[mitosis_count]]/Table1[[#This Row],[total count]]</f>
        <v>9.0456806874717323E-4</v>
      </c>
      <c r="BK47" s="2">
        <f>Table1[[#This Row],['[Cells'] c/ml]]*Table1[[#This Row],[mitosis%]]</f>
        <v>493215.73948439618</v>
      </c>
      <c r="BL47" s="1">
        <v>2</v>
      </c>
      <c r="BM47" s="4">
        <f>Table1[[#This Row],[Abnormal_count]]/Table1[[#This Row],[total count]]</f>
        <v>9.0456806874717323E-4</v>
      </c>
      <c r="BN47" s="2">
        <f>Table1[[#This Row],['[Cells'] c/ml]]*Table1[[#This Row],[abnormal%]]</f>
        <v>493215.73948439618</v>
      </c>
    </row>
    <row r="48" spans="1:66" x14ac:dyDescent="0.25">
      <c r="A48" t="s">
        <v>35</v>
      </c>
      <c r="B48" t="s">
        <v>41</v>
      </c>
      <c r="C48" t="s">
        <v>42</v>
      </c>
      <c r="D48" s="1" t="s">
        <v>43</v>
      </c>
      <c r="E48" s="1">
        <v>6</v>
      </c>
      <c r="F48" s="1" t="s">
        <v>16</v>
      </c>
      <c r="G48" s="1" t="s">
        <v>16</v>
      </c>
      <c r="H48" s="6">
        <v>553500000</v>
      </c>
      <c r="I48" s="8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2196</v>
      </c>
      <c r="J48" s="1">
        <v>2014</v>
      </c>
      <c r="K48" s="4">
        <f t="shared" ref="K48" si="4">J48/SUM(J48+U48,Z48,AC48,AG48,AL48,AQ48,BA48,BF48,BI48)</f>
        <v>0.91879562043795615</v>
      </c>
      <c r="L48" s="2">
        <f>Table1[[#This Row],['[Cells'] c/ml]]*Table1[[#This Row],[Rbc%]]</f>
        <v>508553375.91240871</v>
      </c>
      <c r="M48" s="4">
        <f>SUM(Table1[[#This Row],[Lymoph%]],Table1[[#This Row],[FE%]],Table1[[#This Row],[GT%]],Table1[[#This Row],[CE%]],Table1[[#This Row],[Neutro%]],Table1[[#This Row],[Basophil%]])</f>
        <v>4.3715846994535519E-2</v>
      </c>
      <c r="N48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44.030303030303031</v>
      </c>
      <c r="O48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9.046875</v>
      </c>
      <c r="P48" s="2">
        <f>Table1[[#This Row],['[Cells'] c/ml]]*Table1[[#This Row],[granulocyte%]]</f>
        <v>24196721.311475411</v>
      </c>
      <c r="Q48" s="4">
        <f>SUM(Table1[[#This Row],[Lymoph%]],Table1[[#This Row],[GT%]],Table1[[#This Row],[FE%]],Table1[[#This Row],[CE%]],Table1[[#This Row],[Neutro%]],Table1[[#This Row],[Basophil%]],Table1[[#This Row],[Monocyte%]])</f>
        <v>4.5081967213114756E-2</v>
      </c>
      <c r="R48" s="2">
        <f>Table1[[#This Row],['[Cells'] c/ml]]*Table1[[#This Row],[wbc%]]</f>
        <v>24952868.852459017</v>
      </c>
      <c r="S48" s="7">
        <f>Table1[[#This Row],['[wbc']]]/Table1[[#This Row],['[Granulocyte']]]</f>
        <v>1.03125</v>
      </c>
      <c r="T48" s="7">
        <f>Table1[[#This Row],['[Rbc']]]/Table1[[#This Row],['[wbc']]]</f>
        <v>20.380557398805571</v>
      </c>
      <c r="U48" s="1">
        <v>49</v>
      </c>
      <c r="V48" s="4">
        <f>Table1[[#This Row],[Lympho_count]]/Table1[[#This Row],[total count]]</f>
        <v>2.2313296903460837E-2</v>
      </c>
      <c r="W48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0.49494949494949497</v>
      </c>
      <c r="X48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0.765625</v>
      </c>
      <c r="Y48" s="2">
        <f>Table1[[#This Row],['[Cells'] c/ml]]*Table1[[#This Row],[Lymoph%]]</f>
        <v>12350409.836065574</v>
      </c>
      <c r="Z48" s="1">
        <v>70</v>
      </c>
      <c r="AA48" s="4">
        <f>Table1[[#This Row],[Thrombo_count]]/Table1[[#This Row],[total count]]</f>
        <v>3.1876138433515486E-2</v>
      </c>
      <c r="AB48" s="2">
        <f>Table1[[#This Row],['[Cells'] c/ml]]*Table1[[#This Row],[Thrombo%]]</f>
        <v>17643442.622950822</v>
      </c>
      <c r="AC48" s="1">
        <v>35</v>
      </c>
      <c r="AD48" s="4">
        <f>Table1[[#This Row],[GT_count]]/Table1[[#This Row],[total count]]</f>
        <v>1.5938069216757743E-2</v>
      </c>
      <c r="AE48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0.35353535353535354</v>
      </c>
      <c r="AF48" s="2">
        <f>Table1[[#This Row],['[Cells'] c/ml]]*Table1[[#This Row],[GT%]]</f>
        <v>8821721.3114754111</v>
      </c>
      <c r="AG48" s="1">
        <v>5</v>
      </c>
      <c r="AH48" s="4">
        <f>Table1[[#This Row],[FE_count]]/Table1[[#This Row],[total count]]</f>
        <v>2.2768670309653918E-3</v>
      </c>
      <c r="AI48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5.0505050505050504E-2</v>
      </c>
      <c r="AJ48" s="4">
        <f>Table1[[#This Row],[FE_count]]/(Table1[[#This Row],[Lympho_count]]+Table1[[#This Row],[FE_count]]+Table1[[#This Row],[CE_count]]+Table1[[#This Row],[Neutro_count]]+Table1[[#This Row],[Monocyte_count]]+Table1[[#This Row],[Basophil_count]])</f>
        <v>7.8125E-2</v>
      </c>
      <c r="AK48" s="2">
        <f>Table1[[#This Row],['[Cells'] c/ml]]*Table1[[#This Row],[FE%]]</f>
        <v>1260245.9016393444</v>
      </c>
      <c r="AL48" s="1">
        <v>4</v>
      </c>
      <c r="AM48" s="4">
        <f>Table1[[#This Row],[CE_count]]/Table1[[#This Row],[total count]]</f>
        <v>1.8214936247723133E-3</v>
      </c>
      <c r="AN48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4.0404040404040407E-2</v>
      </c>
      <c r="AO48" s="4">
        <f>Table1[[#This Row],[CE_count]]/(Table1[[#This Row],[Lympho_count]]+Table1[[#This Row],[FE_count]]+Table1[[#This Row],[CE_count]]+Table1[[#This Row],[Neutro_count]]+Table1[[#This Row],[Monocyte_count]]+Table1[[#This Row],[Basophil_count]])</f>
        <v>6.25E-2</v>
      </c>
      <c r="AP48" s="2">
        <f>Table1[[#This Row],['[Cells'] c/ml]]*Table1[[#This Row],[CE%]]</f>
        <v>1008196.7213114754</v>
      </c>
      <c r="AQ48" s="1">
        <v>3</v>
      </c>
      <c r="AR48" s="4">
        <f>Table1[[#This Row],[Neutro_count]]/Table1[[#This Row],[total count]]</f>
        <v>1.366120218579235E-3</v>
      </c>
      <c r="AS48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3.0303030303030304E-2</v>
      </c>
      <c r="AT48" s="4">
        <f>Table1[[#This Row],[Neutro_count]]/(Table1[[#This Row],[Lympho_count]]+Table1[[#This Row],[FE_count]]+Table1[[#This Row],[CE_count]]+Table1[[#This Row],[Neutro_count]]+Table1[[#This Row],[Monocyte_count]]+Table1[[#This Row],[Basophil_count]])</f>
        <v>4.6875E-2</v>
      </c>
      <c r="AU48" s="2">
        <f>Table1[[#This Row],['[Cells'] c/ml]]*Table1[[#This Row],[Neutro%]]</f>
        <v>756147.5409836066</v>
      </c>
      <c r="AV48" s="5">
        <v>3</v>
      </c>
      <c r="AW48" s="4">
        <f>Table1[[#This Row],[Monocyte_count]]/Table1[[#This Row],[total count]]</f>
        <v>1.366120218579235E-3</v>
      </c>
      <c r="AX48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3.0303030303030304E-2</v>
      </c>
      <c r="AY48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4.6875E-2</v>
      </c>
      <c r="AZ48" s="2">
        <f>Table1[[#This Row],['[Cells'] c/ml]]*Table1[[#This Row],[Monocyte%]]</f>
        <v>756147.5409836066</v>
      </c>
      <c r="BA48" s="1">
        <v>0</v>
      </c>
      <c r="BB48" s="4">
        <f>Table1[[#This Row],[Basophil_count]]/Table1[[#This Row],[total count]]</f>
        <v>0</v>
      </c>
      <c r="BC48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D48" s="4"/>
      <c r="BE48" s="2">
        <f>Table1[[#This Row],['[Cells'] c/ml]]*Table1[[#This Row],[Basophil%]]</f>
        <v>0</v>
      </c>
      <c r="BF48" s="1">
        <v>11</v>
      </c>
      <c r="BG48" s="4">
        <f>Table1[[#This Row],[immature_count]]/Table1[[#This Row],[total count]]</f>
        <v>5.0091074681238613E-3</v>
      </c>
      <c r="BH48" s="2">
        <f>Table1[[#This Row],['[Cells'] c/ml]]*Table1[[#This Row],[immature%]]</f>
        <v>2772540.9836065574</v>
      </c>
      <c r="BI48" s="1">
        <v>1</v>
      </c>
      <c r="BJ48" s="4">
        <f>Table1[[#This Row],[mitosis_count]]/Table1[[#This Row],[total count]]</f>
        <v>4.5537340619307832E-4</v>
      </c>
      <c r="BK48" s="2">
        <f>Table1[[#This Row],['[Cells'] c/ml]]*Table1[[#This Row],[mitosis%]]</f>
        <v>252049.18032786885</v>
      </c>
      <c r="BL48" s="1">
        <v>1</v>
      </c>
      <c r="BM48" s="4">
        <f>Table1[[#This Row],[Abnormal_count]]/Table1[[#This Row],[total count]]</f>
        <v>4.5537340619307832E-4</v>
      </c>
      <c r="BN48" s="2">
        <f>Table1[[#This Row],['[Cells'] c/ml]]*Table1[[#This Row],[abnormal%]]</f>
        <v>252049.18032786885</v>
      </c>
    </row>
    <row r="49" spans="1:66" x14ac:dyDescent="0.25">
      <c r="H49" s="2"/>
      <c r="K49" s="4"/>
      <c r="L49" s="2"/>
      <c r="M49" s="4"/>
      <c r="O49" s="7"/>
      <c r="P49" s="2"/>
      <c r="R49" s="2"/>
      <c r="V49" s="4"/>
      <c r="W49" s="4"/>
      <c r="X49" s="4"/>
      <c r="Y49" s="2"/>
      <c r="AA49" s="4"/>
      <c r="AB49" s="2"/>
      <c r="AD49" s="4"/>
      <c r="AE49" s="4"/>
      <c r="AF49" s="2"/>
      <c r="AH49" s="4"/>
      <c r="AI49" s="4"/>
      <c r="AJ49" s="4"/>
      <c r="AK49" s="2"/>
      <c r="AM49" s="4"/>
      <c r="AN49" s="4"/>
      <c r="AO49" s="4"/>
      <c r="AP49" s="2"/>
      <c r="AR49" s="4"/>
      <c r="AS49" s="4"/>
      <c r="AT49" s="4"/>
      <c r="AU49" s="2"/>
      <c r="AV49" s="5"/>
      <c r="AW49" s="4"/>
      <c r="AX49" s="4"/>
      <c r="AY49" s="4"/>
      <c r="AZ49" s="2"/>
      <c r="BA49" s="1"/>
      <c r="BB49" s="4"/>
      <c r="BC49" s="4"/>
      <c r="BD49" s="4"/>
      <c r="BE49" s="2"/>
      <c r="BF49" s="1"/>
      <c r="BG49" s="4"/>
      <c r="BH49" s="2"/>
      <c r="BI49" s="1"/>
      <c r="BJ49" s="4"/>
      <c r="BK49" s="2"/>
      <c r="BM49" s="4"/>
      <c r="BN49" s="2"/>
    </row>
    <row r="50" spans="1:66" x14ac:dyDescent="0.25">
      <c r="A50" s="1" t="s">
        <v>8</v>
      </c>
      <c r="B50" s="1" t="s">
        <v>9</v>
      </c>
      <c r="C50" s="1" t="s">
        <v>10</v>
      </c>
      <c r="D50" s="1" t="s">
        <v>11</v>
      </c>
      <c r="E50" s="1">
        <v>8</v>
      </c>
      <c r="F50" s="3" t="s">
        <v>20</v>
      </c>
      <c r="G50" s="1">
        <v>0</v>
      </c>
      <c r="H50" s="2">
        <v>410000000</v>
      </c>
      <c r="I50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2201</v>
      </c>
      <c r="J50" s="1">
        <v>2096</v>
      </c>
      <c r="K50" s="4">
        <f t="shared" si="3"/>
        <v>0.95446265938069219</v>
      </c>
      <c r="L50" s="2">
        <f>Table1[[#This Row],['[Cells'] c/ml]]*Table1[[#This Row],[Rbc%]]</f>
        <v>391329690.34608382</v>
      </c>
      <c r="M50" s="4">
        <f>SUM(Table1[[#This Row],[Lymoph%]],Table1[[#This Row],[FE%]],Table1[[#This Row],[GT%]],Table1[[#This Row],[CE%]],Table1[[#This Row],[Neutro%]],Table1[[#This Row],[Basophil%]])</f>
        <v>3.2712403452975922E-2</v>
      </c>
      <c r="N50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9.0259740259740262</v>
      </c>
      <c r="O50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7.0266666666666664</v>
      </c>
      <c r="P50" s="2">
        <f>Table1[[#This Row],['[Cells'] c/ml]]*Table1[[#This Row],[granulocyte%]]</f>
        <v>13412085.415720128</v>
      </c>
      <c r="Q50" s="4">
        <f>SUM(Table1[[#This Row],[Lymoph%]],Table1[[#This Row],[GT%]],Table1[[#This Row],[FE%]],Table1[[#This Row],[CE%]],Table1[[#This Row],[Neutro%]],Table1[[#This Row],[Basophil%]],Table1[[#This Row],[Monocyte%]])</f>
        <v>3.4984098137210359E-2</v>
      </c>
      <c r="R50" s="2">
        <f>Table1[[#This Row],['[Cells'] c/ml]]*Table1[[#This Row],[wbc%]]</f>
        <v>14343480.236256247</v>
      </c>
      <c r="S50" s="7">
        <f>Table1[[#This Row],['[wbc']]]/Table1[[#This Row],['[Granulocyte']]]</f>
        <v>1.0694444444444444</v>
      </c>
      <c r="T50" s="7">
        <f>Table1[[#This Row],['[Rbc']]]/Table1[[#This Row],['[wbc']]]</f>
        <v>27.282757315544202</v>
      </c>
      <c r="U50" s="1">
        <v>61</v>
      </c>
      <c r="V50" s="4">
        <f>Table1[[#This Row],[Lympho_count]]/Table1[[#This Row],[total count]]</f>
        <v>2.7714675147660156E-2</v>
      </c>
      <c r="W50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0.79220779220779225</v>
      </c>
      <c r="X50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0.81333333333333335</v>
      </c>
      <c r="Y50" s="2">
        <f>Table1[[#This Row],['[Cells'] c/ml]]*Table1[[#This Row],[Lymoph%]]</f>
        <v>11363016.810540663</v>
      </c>
      <c r="Z50" s="1">
        <v>26</v>
      </c>
      <c r="AA50" s="4">
        <f>Table1[[#This Row],[Thrombo_count]]/Table1[[#This Row],[total count]]</f>
        <v>1.1812812358019082E-2</v>
      </c>
      <c r="AB50" s="2">
        <f>Table1[[#This Row],['[Cells'] c/ml]]*Table1[[#This Row],[Thrombo%]]</f>
        <v>4843253.066787824</v>
      </c>
      <c r="AC50" s="1">
        <v>2</v>
      </c>
      <c r="AD50" s="4">
        <f>Table1[[#This Row],[GT_count]]/Table1[[#This Row],[total count]]</f>
        <v>9.0867787369377552E-4</v>
      </c>
      <c r="AE50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2.5974025974025976E-2</v>
      </c>
      <c r="AF50" s="2">
        <f>Table1[[#This Row],['[Cells'] c/ml]]*Table1[[#This Row],[GT%]]</f>
        <v>372557.92821444798</v>
      </c>
      <c r="AG50" s="1">
        <v>3</v>
      </c>
      <c r="AH50" s="4">
        <f>Table1[[#This Row],[FE_count]]/Table1[[#This Row],[total count]]</f>
        <v>1.3630168105406633E-3</v>
      </c>
      <c r="AI50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3.896103896103896E-2</v>
      </c>
      <c r="AJ50" s="4">
        <f>Table1[[#This Row],[FE_count]]/(Table1[[#This Row],[Lympho_count]]+Table1[[#This Row],[FE_count]]+Table1[[#This Row],[CE_count]]+Table1[[#This Row],[Neutro_count]]+Table1[[#This Row],[Monocyte_count]]+Table1[[#This Row],[Basophil_count]])</f>
        <v>0.04</v>
      </c>
      <c r="AK50" s="2">
        <f>Table1[[#This Row],['[Cells'] c/ml]]*Table1[[#This Row],[FE%]]</f>
        <v>558836.89232167194</v>
      </c>
      <c r="AL50" s="1">
        <v>4</v>
      </c>
      <c r="AM50" s="4">
        <f>Table1[[#This Row],[CE_count]]/Table1[[#This Row],[total count]]</f>
        <v>1.817355747387551E-3</v>
      </c>
      <c r="AN50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5.1948051948051951E-2</v>
      </c>
      <c r="AO50" s="4">
        <f>Table1[[#This Row],[CE_count]]/(Table1[[#This Row],[Lympho_count]]+Table1[[#This Row],[FE_count]]+Table1[[#This Row],[CE_count]]+Table1[[#This Row],[Neutro_count]]+Table1[[#This Row],[Monocyte_count]]+Table1[[#This Row],[Basophil_count]])</f>
        <v>5.3333333333333337E-2</v>
      </c>
      <c r="AP50" s="2">
        <f>Table1[[#This Row],['[Cells'] c/ml]]*Table1[[#This Row],[CE%]]</f>
        <v>745115.85642889596</v>
      </c>
      <c r="AQ50" s="1">
        <v>2</v>
      </c>
      <c r="AR50" s="4">
        <f>Table1[[#This Row],[Neutro_count]]/Table1[[#This Row],[total count]]</f>
        <v>9.0867787369377552E-4</v>
      </c>
      <c r="AS50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2.5974025974025976E-2</v>
      </c>
      <c r="AT50" s="4">
        <f>Table1[[#This Row],[Neutro_count]]/(Table1[[#This Row],[Lympho_count]]+Table1[[#This Row],[FE_count]]+Table1[[#This Row],[CE_count]]+Table1[[#This Row],[Neutro_count]]+Table1[[#This Row],[Monocyte_count]]+Table1[[#This Row],[Basophil_count]])</f>
        <v>2.6666666666666668E-2</v>
      </c>
      <c r="AU50" s="2">
        <f>Table1[[#This Row],['[Cells'] c/ml]]*Table1[[#This Row],[Neutro%]]</f>
        <v>372557.92821444798</v>
      </c>
      <c r="AV50" s="5">
        <v>5</v>
      </c>
      <c r="AW50" s="4">
        <f>Table1[[#This Row],[Monocyte_count]]/Table1[[#This Row],[total count]]</f>
        <v>2.271694684234439E-3</v>
      </c>
      <c r="AX50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6.4935064935064929E-2</v>
      </c>
      <c r="AY50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6.6666666666666666E-2</v>
      </c>
      <c r="AZ50" s="2">
        <f>Table1[[#This Row],['[Cells'] c/ml]]*Table1[[#This Row],[Monocyte%]]</f>
        <v>931394.82053611998</v>
      </c>
      <c r="BA50" s="1">
        <v>0</v>
      </c>
      <c r="BB50" s="4">
        <f>Table1[[#This Row],[Basophil_count]]/Table1[[#This Row],[total count]]</f>
        <v>0</v>
      </c>
      <c r="BC50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D50" s="4"/>
      <c r="BE50" s="2">
        <f>Table1[[#This Row],['[Cells'] c/ml]]*Table1[[#This Row],[Basophil%]]</f>
        <v>0</v>
      </c>
      <c r="BF50" s="1">
        <v>2</v>
      </c>
      <c r="BG50" s="4">
        <f>Table1[[#This Row],[immature_count]]/Table1[[#This Row],[total count]]</f>
        <v>9.0867787369377552E-4</v>
      </c>
      <c r="BH50" s="2">
        <f>Table1[[#This Row],['[Cells'] c/ml]]*Table1[[#This Row],[immature%]]</f>
        <v>372557.92821444798</v>
      </c>
      <c r="BI50" s="1">
        <v>0</v>
      </c>
      <c r="BJ50" s="4">
        <f>Table1[[#This Row],[mitosis_count]]/Table1[[#This Row],[total count]]</f>
        <v>0</v>
      </c>
      <c r="BK50" s="2">
        <f>Table1[[#This Row],['[Cells'] c/ml]]*Table1[[#This Row],[mitosis%]]</f>
        <v>0</v>
      </c>
      <c r="BL50" s="1">
        <v>0</v>
      </c>
      <c r="BM50" s="4">
        <f>Table1[[#This Row],[Abnormal_count]]/Table1[[#This Row],[total count]]</f>
        <v>0</v>
      </c>
      <c r="BN50" s="2">
        <f>Table1[[#This Row],['[Cells'] c/ml]]*Table1[[#This Row],[abnormal%]]</f>
        <v>0</v>
      </c>
    </row>
    <row r="51" spans="1:66" x14ac:dyDescent="0.25">
      <c r="A51" s="1" t="s">
        <v>8</v>
      </c>
      <c r="B51" s="1" t="s">
        <v>13</v>
      </c>
      <c r="C51" s="1" t="s">
        <v>10</v>
      </c>
      <c r="D51" s="1" t="s">
        <v>11</v>
      </c>
      <c r="E51" s="1">
        <v>8</v>
      </c>
      <c r="F51" s="3" t="s">
        <v>20</v>
      </c>
      <c r="G51" s="1">
        <v>0</v>
      </c>
      <c r="H51" s="2">
        <v>686500000</v>
      </c>
      <c r="I51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2180</v>
      </c>
      <c r="J51" s="1">
        <v>2016</v>
      </c>
      <c r="K51" s="4">
        <f t="shared" si="3"/>
        <v>0.92732290708371667</v>
      </c>
      <c r="L51" s="2">
        <f>Table1[[#This Row],['[Cells'] c/ml]]*Table1[[#This Row],[Rbc%]]</f>
        <v>636607175.71297145</v>
      </c>
      <c r="M51" s="4">
        <f>SUM(Table1[[#This Row],[Lymoph%]],Table1[[#This Row],[FE%]],Table1[[#This Row],[GT%]],Table1[[#This Row],[CE%]],Table1[[#This Row],[Neutro%]],Table1[[#This Row],[Basophil%]])</f>
        <v>4.44954128440367E-2</v>
      </c>
      <c r="N51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35.058823529411768</v>
      </c>
      <c r="O51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16.072289156626507</v>
      </c>
      <c r="P51" s="2">
        <f>Table1[[#This Row],['[Cells'] c/ml]]*Table1[[#This Row],[granulocyte%]]</f>
        <v>30546100.917431194</v>
      </c>
      <c r="Q51" s="4">
        <f>SUM(Table1[[#This Row],[Lymoph%]],Table1[[#This Row],[GT%]],Table1[[#This Row],[FE%]],Table1[[#This Row],[CE%]],Table1[[#This Row],[Neutro%]],Table1[[#This Row],[Basophil%]],Table1[[#This Row],[Monocyte%]])</f>
        <v>4.6788990825688076E-2</v>
      </c>
      <c r="R51" s="2">
        <f>Table1[[#This Row],['[Cells'] c/ml]]*Table1[[#This Row],[wbc%]]</f>
        <v>32120642.201834865</v>
      </c>
      <c r="S51" s="7">
        <f>Table1[[#This Row],['[wbc']]]/Table1[[#This Row],['[Granulocyte']]]</f>
        <v>1.0515463917525774</v>
      </c>
      <c r="T51" s="7">
        <f>Table1[[#This Row],['[Rbc']]]/Table1[[#This Row],['[wbc']]]</f>
        <v>19.81925428865198</v>
      </c>
      <c r="U51" s="1">
        <v>55</v>
      </c>
      <c r="V51" s="4">
        <f>Table1[[#This Row],[Lympho_count]]/Table1[[#This Row],[total count]]</f>
        <v>2.5229357798165139E-2</v>
      </c>
      <c r="W51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0.53921568627450978</v>
      </c>
      <c r="X51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0.66265060240963858</v>
      </c>
      <c r="Y51" s="2">
        <f>Table1[[#This Row],['[Cells'] c/ml]]*Table1[[#This Row],[Lymoph%]]</f>
        <v>17319954.128440369</v>
      </c>
      <c r="Z51" s="1">
        <v>61</v>
      </c>
      <c r="AA51" s="4">
        <f>Table1[[#This Row],[Thrombo_count]]/Table1[[#This Row],[total count]]</f>
        <v>2.7981651376146791E-2</v>
      </c>
      <c r="AB51" s="2">
        <f>Table1[[#This Row],['[Cells'] c/ml]]*Table1[[#This Row],[Thrombo%]]</f>
        <v>19209403.66972477</v>
      </c>
      <c r="AC51" s="1">
        <v>19</v>
      </c>
      <c r="AD51" s="4">
        <f>Table1[[#This Row],[GT_count]]/Table1[[#This Row],[total count]]</f>
        <v>8.7155963302752298E-3</v>
      </c>
      <c r="AE51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0.18627450980392157</v>
      </c>
      <c r="AF51" s="2">
        <f>Table1[[#This Row],['[Cells'] c/ml]]*Table1[[#This Row],[GT%]]</f>
        <v>5983256.8807339454</v>
      </c>
      <c r="AG51" s="1">
        <v>11</v>
      </c>
      <c r="AH51" s="4">
        <f>Table1[[#This Row],[FE_count]]/Table1[[#This Row],[total count]]</f>
        <v>5.0458715596330278E-3</v>
      </c>
      <c r="AI51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0.10784313725490197</v>
      </c>
      <c r="AJ51" s="4">
        <f>Table1[[#This Row],[FE_count]]/(Table1[[#This Row],[Lympho_count]]+Table1[[#This Row],[FE_count]]+Table1[[#This Row],[CE_count]]+Table1[[#This Row],[Neutro_count]]+Table1[[#This Row],[Monocyte_count]]+Table1[[#This Row],[Basophil_count]])</f>
        <v>0.13253012048192772</v>
      </c>
      <c r="AK51" s="2">
        <f>Table1[[#This Row],['[Cells'] c/ml]]*Table1[[#This Row],[FE%]]</f>
        <v>3463990.8256880734</v>
      </c>
      <c r="AL51" s="1">
        <v>5</v>
      </c>
      <c r="AM51" s="4">
        <f>Table1[[#This Row],[CE_count]]/Table1[[#This Row],[total count]]</f>
        <v>2.2935779816513763E-3</v>
      </c>
      <c r="AN51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4.9019607843137254E-2</v>
      </c>
      <c r="AO51" s="4">
        <f>Table1[[#This Row],[CE_count]]/(Table1[[#This Row],[Lympho_count]]+Table1[[#This Row],[FE_count]]+Table1[[#This Row],[CE_count]]+Table1[[#This Row],[Neutro_count]]+Table1[[#This Row],[Monocyte_count]]+Table1[[#This Row],[Basophil_count]])</f>
        <v>6.0240963855421686E-2</v>
      </c>
      <c r="AP51" s="2">
        <f>Table1[[#This Row],['[Cells'] c/ml]]*Table1[[#This Row],[CE%]]</f>
        <v>1574541.2844036699</v>
      </c>
      <c r="AQ51" s="1">
        <v>6</v>
      </c>
      <c r="AR51" s="4">
        <f>Table1[[#This Row],[Neutro_count]]/Table1[[#This Row],[total count]]</f>
        <v>2.7522935779816515E-3</v>
      </c>
      <c r="AS51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5.8823529411764705E-2</v>
      </c>
      <c r="AT51" s="4">
        <f>Table1[[#This Row],[Neutro_count]]/(Table1[[#This Row],[Lympho_count]]+Table1[[#This Row],[FE_count]]+Table1[[#This Row],[CE_count]]+Table1[[#This Row],[Neutro_count]]+Table1[[#This Row],[Monocyte_count]]+Table1[[#This Row],[Basophil_count]])</f>
        <v>7.2289156626506021E-2</v>
      </c>
      <c r="AU51" s="2">
        <f>Table1[[#This Row],['[Cells'] c/ml]]*Table1[[#This Row],[Neutro%]]</f>
        <v>1889449.5412844038</v>
      </c>
      <c r="AV51" s="5">
        <v>5</v>
      </c>
      <c r="AW51" s="4">
        <f>Table1[[#This Row],[Monocyte_count]]/Table1[[#This Row],[total count]]</f>
        <v>2.2935779816513763E-3</v>
      </c>
      <c r="AX51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4.9019607843137254E-2</v>
      </c>
      <c r="AY51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6.0240963855421686E-2</v>
      </c>
      <c r="AZ51" s="2">
        <f>Table1[[#This Row],['[Cells'] c/ml]]*Table1[[#This Row],[Monocyte%]]</f>
        <v>1574541.2844036699</v>
      </c>
      <c r="BA51" s="1">
        <v>1</v>
      </c>
      <c r="BB51" s="4">
        <f>Table1[[#This Row],[Basophil_count]]/Table1[[#This Row],[total count]]</f>
        <v>4.5871559633027525E-4</v>
      </c>
      <c r="BC51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1.2048192771084338E-2</v>
      </c>
      <c r="BD51" s="4"/>
      <c r="BE51" s="2">
        <f>Table1[[#This Row],['[Cells'] c/ml]]*Table1[[#This Row],[Basophil%]]</f>
        <v>314908.25688073394</v>
      </c>
      <c r="BF51" s="1">
        <v>0</v>
      </c>
      <c r="BG51" s="4">
        <f>Table1[[#This Row],[immature_count]]/Table1[[#This Row],[total count]]</f>
        <v>0</v>
      </c>
      <c r="BH51" s="2">
        <f>Table1[[#This Row],['[Cells'] c/ml]]*Table1[[#This Row],[immature%]]</f>
        <v>0</v>
      </c>
      <c r="BI51" s="1">
        <v>0</v>
      </c>
      <c r="BJ51" s="4">
        <f>Table1[[#This Row],[mitosis_count]]/Table1[[#This Row],[total count]]</f>
        <v>0</v>
      </c>
      <c r="BK51" s="2">
        <f>Table1[[#This Row],['[Cells'] c/ml]]*Table1[[#This Row],[mitosis%]]</f>
        <v>0</v>
      </c>
      <c r="BL51" s="1">
        <v>1</v>
      </c>
      <c r="BM51" s="4">
        <f>Table1[[#This Row],[Abnormal_count]]/Table1[[#This Row],[total count]]</f>
        <v>4.5871559633027525E-4</v>
      </c>
      <c r="BN51" s="2">
        <f>Table1[[#This Row],['[Cells'] c/ml]]*Table1[[#This Row],[abnormal%]]</f>
        <v>314908.25688073394</v>
      </c>
    </row>
    <row r="52" spans="1:66" x14ac:dyDescent="0.25">
      <c r="A52" s="1" t="s">
        <v>8</v>
      </c>
      <c r="B52" s="1" t="s">
        <v>14</v>
      </c>
      <c r="C52" s="1" t="s">
        <v>15</v>
      </c>
      <c r="D52" s="1" t="s">
        <v>11</v>
      </c>
      <c r="E52" s="1">
        <v>8</v>
      </c>
      <c r="F52" s="3" t="s">
        <v>16</v>
      </c>
      <c r="G52" s="1" t="s">
        <v>16</v>
      </c>
      <c r="H52" s="2">
        <v>469500000</v>
      </c>
      <c r="I52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2280</v>
      </c>
      <c r="J52" s="1">
        <v>2156</v>
      </c>
      <c r="K52" s="4">
        <f t="shared" si="3"/>
        <v>0.94810905892700093</v>
      </c>
      <c r="L52" s="2">
        <f>Table1[[#This Row],['[Cells'] c/ml]]*Table1[[#This Row],[Rbc%]]</f>
        <v>445137203.16622692</v>
      </c>
      <c r="M52" s="4">
        <f>SUM(Table1[[#This Row],[Lymoph%]],Table1[[#This Row],[FE%]],Table1[[#This Row],[GT%]],Table1[[#This Row],[CE%]],Table1[[#This Row],[Neutro%]],Table1[[#This Row],[Basophil%]])</f>
        <v>2.9824561403508774E-2</v>
      </c>
      <c r="N52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26.123287671232877</v>
      </c>
      <c r="O52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20.134328358208954</v>
      </c>
      <c r="P52" s="2">
        <f>Table1[[#This Row],['[Cells'] c/ml]]*Table1[[#This Row],[granulocyte%]]</f>
        <v>14002631.578947369</v>
      </c>
      <c r="Q52" s="4">
        <f>SUM(Table1[[#This Row],[Lymoph%]],Table1[[#This Row],[GT%]],Table1[[#This Row],[FE%]],Table1[[#This Row],[CE%]],Table1[[#This Row],[Neutro%]],Table1[[#This Row],[Basophil%]],Table1[[#This Row],[Monocyte%]])</f>
        <v>3.2017543859649125E-2</v>
      </c>
      <c r="R52" s="2">
        <f>Table1[[#This Row],['[Cells'] c/ml]]*Table1[[#This Row],[wbc%]]</f>
        <v>15032236.842105264</v>
      </c>
      <c r="S52" s="7">
        <f>Table1[[#This Row],['[wbc']]]/Table1[[#This Row],['[Granulocyte']]]</f>
        <v>1.0735294117647058</v>
      </c>
      <c r="T52" s="7">
        <f>Table1[[#This Row],['[Rbc']]]/Table1[[#This Row],['[wbc']]]</f>
        <v>29.612173347309067</v>
      </c>
      <c r="U52" s="1">
        <v>33</v>
      </c>
      <c r="V52" s="4">
        <f>Table1[[#This Row],[Lympho_count]]/Table1[[#This Row],[total count]]</f>
        <v>1.4473684210526316E-2</v>
      </c>
      <c r="W52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0.45205479452054792</v>
      </c>
      <c r="X52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0.4925373134328358</v>
      </c>
      <c r="Y52" s="2">
        <f>Table1[[#This Row],['[Cells'] c/ml]]*Table1[[#This Row],[Lymoph%]]</f>
        <v>6795394.7368421052</v>
      </c>
      <c r="Z52" s="1">
        <v>50</v>
      </c>
      <c r="AA52" s="4">
        <f>Table1[[#This Row],[Thrombo_count]]/Table1[[#This Row],[total count]]</f>
        <v>2.1929824561403508E-2</v>
      </c>
      <c r="AB52" s="2">
        <f>Table1[[#This Row],['[Cells'] c/ml]]*Table1[[#This Row],[Thrombo%]]</f>
        <v>10296052.631578946</v>
      </c>
      <c r="AC52" s="1">
        <v>6</v>
      </c>
      <c r="AD52" s="4">
        <f>Table1[[#This Row],[GT_count]]/Table1[[#This Row],[total count]]</f>
        <v>2.631578947368421E-3</v>
      </c>
      <c r="AE52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8.2191780821917804E-2</v>
      </c>
      <c r="AF52" s="2">
        <f>Table1[[#This Row],['[Cells'] c/ml]]*Table1[[#This Row],[GT%]]</f>
        <v>1235526.3157894737</v>
      </c>
      <c r="AG52" s="1">
        <v>8</v>
      </c>
      <c r="AH52" s="4">
        <f>Table1[[#This Row],[FE_count]]/Table1[[#This Row],[total count]]</f>
        <v>3.5087719298245615E-3</v>
      </c>
      <c r="AI52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0.1095890410958904</v>
      </c>
      <c r="AJ52" s="4">
        <f>Table1[[#This Row],[FE_count]]/(Table1[[#This Row],[Lympho_count]]+Table1[[#This Row],[FE_count]]+Table1[[#This Row],[CE_count]]+Table1[[#This Row],[Neutro_count]]+Table1[[#This Row],[Monocyte_count]]+Table1[[#This Row],[Basophil_count]])</f>
        <v>0.11940298507462686</v>
      </c>
      <c r="AK52" s="2">
        <f>Table1[[#This Row],['[Cells'] c/ml]]*Table1[[#This Row],[FE%]]</f>
        <v>1647368.4210526317</v>
      </c>
      <c r="AL52" s="1">
        <v>12</v>
      </c>
      <c r="AM52" s="4">
        <f>Table1[[#This Row],[CE_count]]/Table1[[#This Row],[total count]]</f>
        <v>5.263157894736842E-3</v>
      </c>
      <c r="AN52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0.16438356164383561</v>
      </c>
      <c r="AO52" s="4">
        <f>Table1[[#This Row],[CE_count]]/(Table1[[#This Row],[Lympho_count]]+Table1[[#This Row],[FE_count]]+Table1[[#This Row],[CE_count]]+Table1[[#This Row],[Neutro_count]]+Table1[[#This Row],[Monocyte_count]]+Table1[[#This Row],[Basophil_count]])</f>
        <v>0.17910447761194029</v>
      </c>
      <c r="AP52" s="2">
        <f>Table1[[#This Row],['[Cells'] c/ml]]*Table1[[#This Row],[CE%]]</f>
        <v>2471052.6315789474</v>
      </c>
      <c r="AQ52" s="1">
        <v>9</v>
      </c>
      <c r="AR52" s="4">
        <f>Table1[[#This Row],[Neutro_count]]/Table1[[#This Row],[total count]]</f>
        <v>3.9473684210526317E-3</v>
      </c>
      <c r="AS52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0.12328767123287671</v>
      </c>
      <c r="AT52" s="4">
        <f>Table1[[#This Row],[Neutro_count]]/(Table1[[#This Row],[Lympho_count]]+Table1[[#This Row],[FE_count]]+Table1[[#This Row],[CE_count]]+Table1[[#This Row],[Neutro_count]]+Table1[[#This Row],[Monocyte_count]]+Table1[[#This Row],[Basophil_count]])</f>
        <v>0.13432835820895522</v>
      </c>
      <c r="AU52" s="2">
        <f>Table1[[#This Row],['[Cells'] c/ml]]*Table1[[#This Row],[Neutro%]]</f>
        <v>1853289.4736842106</v>
      </c>
      <c r="AV52" s="5">
        <v>5</v>
      </c>
      <c r="AW52" s="4">
        <f>Table1[[#This Row],[Monocyte_count]]/Table1[[#This Row],[total count]]</f>
        <v>2.1929824561403508E-3</v>
      </c>
      <c r="AX52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6.8493150684931503E-2</v>
      </c>
      <c r="AY52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7.4626865671641784E-2</v>
      </c>
      <c r="AZ52" s="2">
        <f>Table1[[#This Row],['[Cells'] c/ml]]*Table1[[#This Row],[Monocyte%]]</f>
        <v>1029605.2631578947</v>
      </c>
      <c r="BA52" s="1">
        <v>0</v>
      </c>
      <c r="BB52" s="4">
        <f>Table1[[#This Row],[Basophil_count]]/Table1[[#This Row],[total count]]</f>
        <v>0</v>
      </c>
      <c r="BC52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D52" s="4"/>
      <c r="BE52" s="2">
        <f>Table1[[#This Row],['[Cells'] c/ml]]*Table1[[#This Row],[Basophil%]]</f>
        <v>0</v>
      </c>
      <c r="BF52" s="1">
        <v>0</v>
      </c>
      <c r="BG52" s="4">
        <f>Table1[[#This Row],[immature_count]]/Table1[[#This Row],[total count]]</f>
        <v>0</v>
      </c>
      <c r="BH52" s="2">
        <f>Table1[[#This Row],['[Cells'] c/ml]]*Table1[[#This Row],[immature%]]</f>
        <v>0</v>
      </c>
      <c r="BI52" s="1">
        <v>0</v>
      </c>
      <c r="BJ52" s="4">
        <f>Table1[[#This Row],[mitosis_count]]/Table1[[#This Row],[total count]]</f>
        <v>0</v>
      </c>
      <c r="BK52" s="2">
        <f>Table1[[#This Row],['[Cells'] c/ml]]*Table1[[#This Row],[mitosis%]]</f>
        <v>0</v>
      </c>
      <c r="BL52" s="1">
        <v>1</v>
      </c>
      <c r="BM52" s="4">
        <f>Table1[[#This Row],[Abnormal_count]]/Table1[[#This Row],[total count]]</f>
        <v>4.3859649122807018E-4</v>
      </c>
      <c r="BN52" s="2">
        <f>Table1[[#This Row],['[Cells'] c/ml]]*Table1[[#This Row],[abnormal%]]</f>
        <v>205921.05263157896</v>
      </c>
    </row>
    <row r="53" spans="1:66" x14ac:dyDescent="0.25">
      <c r="A53" s="1" t="s">
        <v>8</v>
      </c>
      <c r="B53" s="1" t="s">
        <v>17</v>
      </c>
      <c r="C53" s="1" t="s">
        <v>15</v>
      </c>
      <c r="D53" s="1" t="s">
        <v>11</v>
      </c>
      <c r="E53" s="1">
        <v>8</v>
      </c>
      <c r="F53" s="3" t="s">
        <v>16</v>
      </c>
      <c r="G53" s="1" t="s">
        <v>16</v>
      </c>
      <c r="H53" s="2">
        <v>579000000</v>
      </c>
      <c r="I53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2167</v>
      </c>
      <c r="J53" s="1">
        <v>2016</v>
      </c>
      <c r="K53" s="4">
        <f t="shared" si="3"/>
        <v>0.93333333333333335</v>
      </c>
      <c r="L53" s="2">
        <f>Table1[[#This Row],['[Cells'] c/ml]]*Table1[[#This Row],[Rbc%]]</f>
        <v>540400000</v>
      </c>
      <c r="M53" s="4">
        <f>SUM(Table1[[#This Row],[Lymoph%]],Table1[[#This Row],[FE%]],Table1[[#This Row],[GT%]],Table1[[#This Row],[CE%]],Table1[[#This Row],[Neutro%]],Table1[[#This Row],[Basophil%]])</f>
        <v>4.6146746654360866E-2</v>
      </c>
      <c r="N53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28.047169811320753</v>
      </c>
      <c r="O53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26.048076923076923</v>
      </c>
      <c r="P53" s="2">
        <f>Table1[[#This Row],['[Cells'] c/ml]]*Table1[[#This Row],[granulocyte%]]</f>
        <v>26718966.312874943</v>
      </c>
      <c r="Q53" s="4">
        <f>SUM(Table1[[#This Row],[Lymoph%]],Table1[[#This Row],[GT%]],Table1[[#This Row],[FE%]],Table1[[#This Row],[CE%]],Table1[[#This Row],[Neutro%]],Table1[[#This Row],[Basophil%]],Table1[[#This Row],[Monocyte%]])</f>
        <v>4.8915551453622516E-2</v>
      </c>
      <c r="R53" s="2">
        <f>Table1[[#This Row],['[Cells'] c/ml]]*Table1[[#This Row],[wbc%]]</f>
        <v>28322104.291647438</v>
      </c>
      <c r="S53" s="7">
        <f>Table1[[#This Row],['[wbc']]]/Table1[[#This Row],['[Granulocyte']]]</f>
        <v>1.0599999999999998</v>
      </c>
      <c r="T53" s="7">
        <f>Table1[[#This Row],['[Rbc']]]/Table1[[#This Row],['[wbc']]]</f>
        <v>19.080503144654088</v>
      </c>
      <c r="U53" s="1">
        <v>66</v>
      </c>
      <c r="V53" s="4">
        <f>Table1[[#This Row],[Lympho_count]]/Table1[[#This Row],[total count]]</f>
        <v>3.0456852791878174E-2</v>
      </c>
      <c r="W53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0.62264150943396224</v>
      </c>
      <c r="X53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0.63461538461538458</v>
      </c>
      <c r="Y53" s="2">
        <f>Table1[[#This Row],['[Cells'] c/ml]]*Table1[[#This Row],[Lymoph%]]</f>
        <v>17634517.766497463</v>
      </c>
      <c r="Z53" s="1">
        <v>44</v>
      </c>
      <c r="AA53" s="4">
        <f>Table1[[#This Row],[Thrombo_count]]/Table1[[#This Row],[total count]]</f>
        <v>2.030456852791878E-2</v>
      </c>
      <c r="AB53" s="2">
        <f>Table1[[#This Row],['[Cells'] c/ml]]*Table1[[#This Row],[Thrombo%]]</f>
        <v>11756345.177664973</v>
      </c>
      <c r="AC53" s="1">
        <v>2</v>
      </c>
      <c r="AD53" s="4">
        <f>Table1[[#This Row],[GT_count]]/Table1[[#This Row],[total count]]</f>
        <v>9.2293493308721734E-4</v>
      </c>
      <c r="AE53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1.8867924528301886E-2</v>
      </c>
      <c r="AF53" s="2">
        <f>Table1[[#This Row],['[Cells'] c/ml]]*Table1[[#This Row],[GT%]]</f>
        <v>534379.32625749882</v>
      </c>
      <c r="AG53" s="1">
        <v>17</v>
      </c>
      <c r="AH53" s="4">
        <f>Table1[[#This Row],[FE_count]]/Table1[[#This Row],[total count]]</f>
        <v>7.8449469312413481E-3</v>
      </c>
      <c r="AI53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0.16037735849056603</v>
      </c>
      <c r="AJ53" s="4">
        <f>Table1[[#This Row],[FE_count]]/(Table1[[#This Row],[Lympho_count]]+Table1[[#This Row],[FE_count]]+Table1[[#This Row],[CE_count]]+Table1[[#This Row],[Neutro_count]]+Table1[[#This Row],[Monocyte_count]]+Table1[[#This Row],[Basophil_count]])</f>
        <v>0.16346153846153846</v>
      </c>
      <c r="AK53" s="2">
        <f>Table1[[#This Row],['[Cells'] c/ml]]*Table1[[#This Row],[FE%]]</f>
        <v>4542224.2731887409</v>
      </c>
      <c r="AL53" s="1">
        <v>9</v>
      </c>
      <c r="AM53" s="4">
        <f>Table1[[#This Row],[CE_count]]/Table1[[#This Row],[total count]]</f>
        <v>4.1532071988924779E-3</v>
      </c>
      <c r="AN53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8.4905660377358486E-2</v>
      </c>
      <c r="AO53" s="4">
        <f>Table1[[#This Row],[CE_count]]/(Table1[[#This Row],[Lympho_count]]+Table1[[#This Row],[FE_count]]+Table1[[#This Row],[CE_count]]+Table1[[#This Row],[Neutro_count]]+Table1[[#This Row],[Monocyte_count]]+Table1[[#This Row],[Basophil_count]])</f>
        <v>8.6538461538461536E-2</v>
      </c>
      <c r="AP53" s="2">
        <f>Table1[[#This Row],['[Cells'] c/ml]]*Table1[[#This Row],[CE%]]</f>
        <v>2404706.9681587447</v>
      </c>
      <c r="AQ53" s="1">
        <v>5</v>
      </c>
      <c r="AR53" s="4">
        <f>Table1[[#This Row],[Neutro_count]]/Table1[[#This Row],[total count]]</f>
        <v>2.3073373327180432E-3</v>
      </c>
      <c r="AS53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4.716981132075472E-2</v>
      </c>
      <c r="AT53" s="4">
        <f>Table1[[#This Row],[Neutro_count]]/(Table1[[#This Row],[Lympho_count]]+Table1[[#This Row],[FE_count]]+Table1[[#This Row],[CE_count]]+Table1[[#This Row],[Neutro_count]]+Table1[[#This Row],[Monocyte_count]]+Table1[[#This Row],[Basophil_count]])</f>
        <v>4.807692307692308E-2</v>
      </c>
      <c r="AU53" s="2">
        <f>Table1[[#This Row],['[Cells'] c/ml]]*Table1[[#This Row],[Neutro%]]</f>
        <v>1335948.3156437471</v>
      </c>
      <c r="AV53" s="5">
        <v>6</v>
      </c>
      <c r="AW53" s="4">
        <f>Table1[[#This Row],[Monocyte_count]]/Table1[[#This Row],[total count]]</f>
        <v>2.7688047992616522E-3</v>
      </c>
      <c r="AX53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5.6603773584905662E-2</v>
      </c>
      <c r="AY53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5.7692307692307696E-2</v>
      </c>
      <c r="AZ53" s="2">
        <f>Table1[[#This Row],['[Cells'] c/ml]]*Table1[[#This Row],[Monocyte%]]</f>
        <v>1603137.9787724966</v>
      </c>
      <c r="BA53" s="1">
        <v>1</v>
      </c>
      <c r="BB53" s="4">
        <f>Table1[[#This Row],[Basophil_count]]/Table1[[#This Row],[total count]]</f>
        <v>4.6146746654360867E-4</v>
      </c>
      <c r="BC53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9.6153846153846159E-3</v>
      </c>
      <c r="BD53" s="4"/>
      <c r="BE53" s="2">
        <f>Table1[[#This Row],['[Cells'] c/ml]]*Table1[[#This Row],[Basophil%]]</f>
        <v>267189.66312874941</v>
      </c>
      <c r="BF53" s="1">
        <v>0</v>
      </c>
      <c r="BG53" s="4">
        <f>Table1[[#This Row],[immature_count]]/Table1[[#This Row],[total count]]</f>
        <v>0</v>
      </c>
      <c r="BH53" s="2">
        <f>Table1[[#This Row],['[Cells'] c/ml]]*Table1[[#This Row],[immature%]]</f>
        <v>0</v>
      </c>
      <c r="BI53" s="1">
        <v>0</v>
      </c>
      <c r="BJ53" s="4">
        <f>Table1[[#This Row],[mitosis_count]]/Table1[[#This Row],[total count]]</f>
        <v>0</v>
      </c>
      <c r="BK53" s="2">
        <f>Table1[[#This Row],['[Cells'] c/ml]]*Table1[[#This Row],[mitosis%]]</f>
        <v>0</v>
      </c>
      <c r="BL53" s="1">
        <v>1</v>
      </c>
      <c r="BM53" s="4">
        <f>Table1[[#This Row],[Abnormal_count]]/Table1[[#This Row],[total count]]</f>
        <v>4.6146746654360867E-4</v>
      </c>
      <c r="BN53" s="2">
        <f>Table1[[#This Row],['[Cells'] c/ml]]*Table1[[#This Row],[abnormal%]]</f>
        <v>267189.66312874941</v>
      </c>
    </row>
    <row r="54" spans="1:66" x14ac:dyDescent="0.25">
      <c r="A54" s="1" t="s">
        <v>8</v>
      </c>
      <c r="B54" s="1" t="s">
        <v>18</v>
      </c>
      <c r="C54" s="1" t="s">
        <v>10</v>
      </c>
      <c r="D54" s="1" t="s">
        <v>19</v>
      </c>
      <c r="E54" s="1">
        <v>8</v>
      </c>
      <c r="F54" s="3" t="s">
        <v>12</v>
      </c>
      <c r="G54" s="1">
        <v>1</v>
      </c>
      <c r="H54" s="2">
        <v>454500000</v>
      </c>
      <c r="I54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2337</v>
      </c>
      <c r="J54" s="1">
        <v>2120</v>
      </c>
      <c r="K54" s="4">
        <f t="shared" si="3"/>
        <v>0.90792291220556742</v>
      </c>
      <c r="L54" s="2">
        <f>Table1[[#This Row],['[Cells'] c/ml]]*Table1[[#This Row],[Rbc%]]</f>
        <v>412650963.59743041</v>
      </c>
      <c r="M54" s="4">
        <f>SUM(Table1[[#This Row],[Lymoph%]],Table1[[#This Row],[FE%]],Table1[[#This Row],[GT%]],Table1[[#This Row],[CE%]],Table1[[#This Row],[Neutro%]],Table1[[#This Row],[Basophil%]])</f>
        <v>6.2045357295678227E-2</v>
      </c>
      <c r="N54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55.068027210884352</v>
      </c>
      <c r="O54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42.07462686567164</v>
      </c>
      <c r="P54" s="2">
        <f>Table1[[#This Row],['[Cells'] c/ml]]*Table1[[#This Row],[granulocyte%]]</f>
        <v>28199614.890885755</v>
      </c>
      <c r="Q54" s="4">
        <f>SUM(Table1[[#This Row],[Lymoph%]],Table1[[#This Row],[GT%]],Table1[[#This Row],[FE%]],Table1[[#This Row],[CE%]],Table1[[#This Row],[Neutro%]],Table1[[#This Row],[Basophil%]],Table1[[#This Row],[Monocyte%]])</f>
        <v>6.290115532734275E-2</v>
      </c>
      <c r="R54" s="2">
        <f>Table1[[#This Row],['[Cells'] c/ml]]*Table1[[#This Row],[wbc%]]</f>
        <v>28588575.096277282</v>
      </c>
      <c r="S54" s="7">
        <f>Table1[[#This Row],['[wbc']]]/Table1[[#This Row],['[Granulocyte']]]</f>
        <v>1.0137931034482759</v>
      </c>
      <c r="T54" s="7">
        <f>Table1[[#This Row],['[Rbc']]]/Table1[[#This Row],['[wbc']]]</f>
        <v>14.434121400166061</v>
      </c>
      <c r="U54" s="1">
        <v>80</v>
      </c>
      <c r="V54" s="4">
        <f>Table1[[#This Row],[Lympho_count]]/Table1[[#This Row],[total count]]</f>
        <v>3.4231921266581089E-2</v>
      </c>
      <c r="W54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0.54421768707482998</v>
      </c>
      <c r="X54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0.59701492537313428</v>
      </c>
      <c r="Y54" s="2">
        <f>Table1[[#This Row],['[Cells'] c/ml]]*Table1[[#This Row],[Lymoph%]]</f>
        <v>15558408.215661105</v>
      </c>
      <c r="Z54" s="1">
        <v>70</v>
      </c>
      <c r="AA54" s="4">
        <f>Table1[[#This Row],[Thrombo_count]]/Table1[[#This Row],[total count]]</f>
        <v>2.9952931108258449E-2</v>
      </c>
      <c r="AB54" s="2">
        <f>Table1[[#This Row],['[Cells'] c/ml]]*Table1[[#This Row],[Thrombo%]]</f>
        <v>13613607.188703464</v>
      </c>
      <c r="AC54" s="1">
        <v>13</v>
      </c>
      <c r="AD54" s="4">
        <f>Table1[[#This Row],[GT_count]]/Table1[[#This Row],[total count]]</f>
        <v>5.5626872058194268E-3</v>
      </c>
      <c r="AE54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8.8435374149659865E-2</v>
      </c>
      <c r="AF54" s="2">
        <f>Table1[[#This Row],['[Cells'] c/ml]]*Table1[[#This Row],[GT%]]</f>
        <v>2528241.3350449293</v>
      </c>
      <c r="AG54" s="1">
        <v>19</v>
      </c>
      <c r="AH54" s="4">
        <f>Table1[[#This Row],[FE_count]]/Table1[[#This Row],[total count]]</f>
        <v>8.130081300813009E-3</v>
      </c>
      <c r="AI54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0.12925170068027211</v>
      </c>
      <c r="AJ54" s="4">
        <f>Table1[[#This Row],[FE_count]]/(Table1[[#This Row],[Lympho_count]]+Table1[[#This Row],[FE_count]]+Table1[[#This Row],[CE_count]]+Table1[[#This Row],[Neutro_count]]+Table1[[#This Row],[Monocyte_count]]+Table1[[#This Row],[Basophil_count]])</f>
        <v>0.1417910447761194</v>
      </c>
      <c r="AK54" s="2">
        <f>Table1[[#This Row],['[Cells'] c/ml]]*Table1[[#This Row],[FE%]]</f>
        <v>3695121.9512195126</v>
      </c>
      <c r="AL54" s="1">
        <v>23</v>
      </c>
      <c r="AM54" s="4">
        <f>Table1[[#This Row],[CE_count]]/Table1[[#This Row],[total count]]</f>
        <v>9.8416773641420621E-3</v>
      </c>
      <c r="AN54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0.15646258503401361</v>
      </c>
      <c r="AO54" s="4">
        <f>Table1[[#This Row],[CE_count]]/(Table1[[#This Row],[Lympho_count]]+Table1[[#This Row],[FE_count]]+Table1[[#This Row],[CE_count]]+Table1[[#This Row],[Neutro_count]]+Table1[[#This Row],[Monocyte_count]]+Table1[[#This Row],[Basophil_count]])</f>
        <v>0.17164179104477612</v>
      </c>
      <c r="AP54" s="2">
        <f>Table1[[#This Row],['[Cells'] c/ml]]*Table1[[#This Row],[CE%]]</f>
        <v>4473042.3620025674</v>
      </c>
      <c r="AQ54" s="1">
        <v>10</v>
      </c>
      <c r="AR54" s="4">
        <f>Table1[[#This Row],[Neutro_count]]/Table1[[#This Row],[total count]]</f>
        <v>4.2789901583226361E-3</v>
      </c>
      <c r="AS54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6.8027210884353748E-2</v>
      </c>
      <c r="AT54" s="4">
        <f>Table1[[#This Row],[Neutro_count]]/(Table1[[#This Row],[Lympho_count]]+Table1[[#This Row],[FE_count]]+Table1[[#This Row],[CE_count]]+Table1[[#This Row],[Neutro_count]]+Table1[[#This Row],[Monocyte_count]]+Table1[[#This Row],[Basophil_count]])</f>
        <v>7.4626865671641784E-2</v>
      </c>
      <c r="AU54" s="2">
        <f>Table1[[#This Row],['[Cells'] c/ml]]*Table1[[#This Row],[Neutro%]]</f>
        <v>1944801.0269576381</v>
      </c>
      <c r="AV54" s="5">
        <v>2</v>
      </c>
      <c r="AW54" s="4">
        <f>Table1[[#This Row],[Monocyte_count]]/Table1[[#This Row],[total count]]</f>
        <v>8.5579803166452718E-4</v>
      </c>
      <c r="AX54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1.3605442176870748E-2</v>
      </c>
      <c r="AY54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1.4925373134328358E-2</v>
      </c>
      <c r="AZ54" s="2">
        <f>Table1[[#This Row],['[Cells'] c/ml]]*Table1[[#This Row],[Monocyte%]]</f>
        <v>388960.20539152762</v>
      </c>
      <c r="BA54" s="1">
        <v>0</v>
      </c>
      <c r="BB54" s="4">
        <f>Table1[[#This Row],[Basophil_count]]/Table1[[#This Row],[total count]]</f>
        <v>0</v>
      </c>
      <c r="BC54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D54" s="4"/>
      <c r="BE54" s="2">
        <f>Table1[[#This Row],['[Cells'] c/ml]]*Table1[[#This Row],[Basophil%]]</f>
        <v>0</v>
      </c>
      <c r="BF54" s="1">
        <v>0</v>
      </c>
      <c r="BG54" s="4">
        <f>Table1[[#This Row],[immature_count]]/Table1[[#This Row],[total count]]</f>
        <v>0</v>
      </c>
      <c r="BH54" s="2">
        <f>Table1[[#This Row],['[Cells'] c/ml]]*Table1[[#This Row],[immature%]]</f>
        <v>0</v>
      </c>
      <c r="BI54" s="1">
        <v>0</v>
      </c>
      <c r="BJ54" s="4">
        <f>Table1[[#This Row],[mitosis_count]]/Table1[[#This Row],[total count]]</f>
        <v>0</v>
      </c>
      <c r="BK54" s="2">
        <f>Table1[[#This Row],['[Cells'] c/ml]]*Table1[[#This Row],[mitosis%]]</f>
        <v>0</v>
      </c>
      <c r="BL54" s="1">
        <v>0</v>
      </c>
      <c r="BM54" s="4">
        <f>Table1[[#This Row],[Abnormal_count]]/Table1[[#This Row],[total count]]</f>
        <v>0</v>
      </c>
      <c r="BN54" s="2">
        <f>Table1[[#This Row],['[Cells'] c/ml]]*Table1[[#This Row],[abnormal%]]</f>
        <v>0</v>
      </c>
    </row>
    <row r="55" spans="1:66" x14ac:dyDescent="0.25">
      <c r="A55" s="1" t="s">
        <v>8</v>
      </c>
      <c r="B55" s="1" t="s">
        <v>21</v>
      </c>
      <c r="C55" s="1" t="s">
        <v>10</v>
      </c>
      <c r="D55" s="1" t="s">
        <v>19</v>
      </c>
      <c r="E55" s="1">
        <v>8</v>
      </c>
      <c r="F55" s="3" t="s">
        <v>20</v>
      </c>
      <c r="G55" s="1">
        <v>0</v>
      </c>
      <c r="H55" s="2">
        <v>590000000</v>
      </c>
      <c r="I55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2114</v>
      </c>
      <c r="J55" s="1">
        <v>2000</v>
      </c>
      <c r="K55" s="4">
        <f t="shared" si="3"/>
        <v>0.94696969696969702</v>
      </c>
      <c r="L55" s="2">
        <f>Table1[[#This Row],['[Cells'] c/ml]]*Table1[[#This Row],[Rbc%]]</f>
        <v>558712121.21212125</v>
      </c>
      <c r="M55" s="4">
        <f>SUM(Table1[[#This Row],[Lymoph%]],Table1[[#This Row],[FE%]],Table1[[#This Row],[GT%]],Table1[[#This Row],[CE%]],Table1[[#This Row],[Neutro%]],Table1[[#This Row],[Basophil%]])</f>
        <v>3.4531693472090827E-2</v>
      </c>
      <c r="N55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31.013333333333332</v>
      </c>
      <c r="O55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19.015873015873016</v>
      </c>
      <c r="P55" s="2">
        <f>Table1[[#This Row],['[Cells'] c/ml]]*Table1[[#This Row],[granulocyte%]]</f>
        <v>20373699.148533586</v>
      </c>
      <c r="Q55" s="4">
        <f>SUM(Table1[[#This Row],[Lymoph%]],Table1[[#This Row],[GT%]],Table1[[#This Row],[FE%]],Table1[[#This Row],[CE%]],Table1[[#This Row],[Neutro%]],Table1[[#This Row],[Basophil%]],Table1[[#This Row],[Monocyte%]])</f>
        <v>3.5477767265846741E-2</v>
      </c>
      <c r="R55" s="2">
        <f>Table1[[#This Row],['[Cells'] c/ml]]*Table1[[#This Row],[wbc%]]</f>
        <v>20931882.686849575</v>
      </c>
      <c r="S55" s="7">
        <f>Table1[[#This Row],['[wbc']]]/Table1[[#This Row],['[Granulocyte']]]</f>
        <v>1.0273972602739727</v>
      </c>
      <c r="T55" s="7">
        <f>Table1[[#This Row],['[Rbc']]]/Table1[[#This Row],['[wbc']]]</f>
        <v>26.691919191919194</v>
      </c>
      <c r="U55" s="1">
        <v>41</v>
      </c>
      <c r="V55" s="4">
        <f>Table1[[#This Row],[Lympho_count]]/Table1[[#This Row],[total count]]</f>
        <v>1.9394512771996216E-2</v>
      </c>
      <c r="W55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0.54666666666666663</v>
      </c>
      <c r="X55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0.65079365079365081</v>
      </c>
      <c r="Y55" s="2">
        <f>Table1[[#This Row],['[Cells'] c/ml]]*Table1[[#This Row],[Lymoph%]]</f>
        <v>11442762.535477767</v>
      </c>
      <c r="Z55" s="1">
        <v>39</v>
      </c>
      <c r="AA55" s="4">
        <f>Table1[[#This Row],[Thrombo_count]]/Table1[[#This Row],[total count]]</f>
        <v>1.8448438978240302E-2</v>
      </c>
      <c r="AB55" s="2">
        <f>Table1[[#This Row],['[Cells'] c/ml]]*Table1[[#This Row],[Thrombo%]]</f>
        <v>10884578.997161778</v>
      </c>
      <c r="AC55" s="1">
        <v>12</v>
      </c>
      <c r="AD55" s="4">
        <f>Table1[[#This Row],[GT_count]]/Table1[[#This Row],[total count]]</f>
        <v>5.6764427625354778E-3</v>
      </c>
      <c r="AE55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0.16</v>
      </c>
      <c r="AF55" s="2">
        <f>Table1[[#This Row],['[Cells'] c/ml]]*Table1[[#This Row],[GT%]]</f>
        <v>3349101.2298959317</v>
      </c>
      <c r="AG55" s="1">
        <v>13</v>
      </c>
      <c r="AH55" s="4">
        <f>Table1[[#This Row],[FE_count]]/Table1[[#This Row],[total count]]</f>
        <v>6.1494796594134347E-3</v>
      </c>
      <c r="AI55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0.17333333333333334</v>
      </c>
      <c r="AJ55" s="4">
        <f>Table1[[#This Row],[FE_count]]/(Table1[[#This Row],[Lympho_count]]+Table1[[#This Row],[FE_count]]+Table1[[#This Row],[CE_count]]+Table1[[#This Row],[Neutro_count]]+Table1[[#This Row],[Monocyte_count]]+Table1[[#This Row],[Basophil_count]])</f>
        <v>0.20634920634920634</v>
      </c>
      <c r="AK55" s="2">
        <f>Table1[[#This Row],['[Cells'] c/ml]]*Table1[[#This Row],[FE%]]</f>
        <v>3628192.9990539267</v>
      </c>
      <c r="AL55" s="1">
        <v>6</v>
      </c>
      <c r="AM55" s="4">
        <f>Table1[[#This Row],[CE_count]]/Table1[[#This Row],[total count]]</f>
        <v>2.8382213812677389E-3</v>
      </c>
      <c r="AN55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0.08</v>
      </c>
      <c r="AO55" s="4">
        <f>Table1[[#This Row],[CE_count]]/(Table1[[#This Row],[Lympho_count]]+Table1[[#This Row],[FE_count]]+Table1[[#This Row],[CE_count]]+Table1[[#This Row],[Neutro_count]]+Table1[[#This Row],[Monocyte_count]]+Table1[[#This Row],[Basophil_count]])</f>
        <v>9.5238095238095233E-2</v>
      </c>
      <c r="AP55" s="2">
        <f>Table1[[#This Row],['[Cells'] c/ml]]*Table1[[#This Row],[CE%]]</f>
        <v>1674550.6149479658</v>
      </c>
      <c r="AQ55" s="1">
        <v>1</v>
      </c>
      <c r="AR55" s="4">
        <f>Table1[[#This Row],[Neutro_count]]/Table1[[#This Row],[total count]]</f>
        <v>4.7303689687795648E-4</v>
      </c>
      <c r="AS55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1.3333333333333334E-2</v>
      </c>
      <c r="AT55" s="4">
        <f>Table1[[#This Row],[Neutro_count]]/(Table1[[#This Row],[Lympho_count]]+Table1[[#This Row],[FE_count]]+Table1[[#This Row],[CE_count]]+Table1[[#This Row],[Neutro_count]]+Table1[[#This Row],[Monocyte_count]]+Table1[[#This Row],[Basophil_count]])</f>
        <v>1.5873015873015872E-2</v>
      </c>
      <c r="AU55" s="2">
        <f>Table1[[#This Row],['[Cells'] c/ml]]*Table1[[#This Row],[Neutro%]]</f>
        <v>279091.76915799431</v>
      </c>
      <c r="AV55" s="5">
        <v>2</v>
      </c>
      <c r="AW55" s="4">
        <f>Table1[[#This Row],[Monocyte_count]]/Table1[[#This Row],[total count]]</f>
        <v>9.4607379375591296E-4</v>
      </c>
      <c r="AX55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2.6666666666666668E-2</v>
      </c>
      <c r="AY55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3.1746031746031744E-2</v>
      </c>
      <c r="AZ55" s="2">
        <f>Table1[[#This Row],['[Cells'] c/ml]]*Table1[[#This Row],[Monocyte%]]</f>
        <v>558183.53831598861</v>
      </c>
      <c r="BA55" s="1">
        <v>0</v>
      </c>
      <c r="BB55" s="4">
        <f>Table1[[#This Row],[Basophil_count]]/Table1[[#This Row],[total count]]</f>
        <v>0</v>
      </c>
      <c r="BC55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D55" s="4"/>
      <c r="BE55" s="2">
        <f>Table1[[#This Row],['[Cells'] c/ml]]*Table1[[#This Row],[Basophil%]]</f>
        <v>0</v>
      </c>
      <c r="BF55" s="1">
        <v>0</v>
      </c>
      <c r="BG55" s="4">
        <f>Table1[[#This Row],[immature_count]]/Table1[[#This Row],[total count]]</f>
        <v>0</v>
      </c>
      <c r="BH55" s="2">
        <f>Table1[[#This Row],['[Cells'] c/ml]]*Table1[[#This Row],[immature%]]</f>
        <v>0</v>
      </c>
      <c r="BI55" s="1">
        <v>0</v>
      </c>
      <c r="BJ55" s="4">
        <f>Table1[[#This Row],[mitosis_count]]/Table1[[#This Row],[total count]]</f>
        <v>0</v>
      </c>
      <c r="BK55" s="2">
        <f>Table1[[#This Row],['[Cells'] c/ml]]*Table1[[#This Row],[mitosis%]]</f>
        <v>0</v>
      </c>
      <c r="BL55" s="1">
        <v>0</v>
      </c>
      <c r="BM55" s="4">
        <f>Table1[[#This Row],[Abnormal_count]]/Table1[[#This Row],[total count]]</f>
        <v>0</v>
      </c>
      <c r="BN55" s="2">
        <f>Table1[[#This Row],['[Cells'] c/ml]]*Table1[[#This Row],[abnormal%]]</f>
        <v>0</v>
      </c>
    </row>
    <row r="56" spans="1:66" x14ac:dyDescent="0.25">
      <c r="A56" s="1" t="s">
        <v>8</v>
      </c>
      <c r="B56" s="1" t="s">
        <v>22</v>
      </c>
      <c r="C56" s="1" t="s">
        <v>15</v>
      </c>
      <c r="D56" s="1" t="s">
        <v>19</v>
      </c>
      <c r="E56" s="1">
        <v>8</v>
      </c>
      <c r="F56" s="3" t="s">
        <v>16</v>
      </c>
      <c r="G56" s="1" t="s">
        <v>16</v>
      </c>
      <c r="H56" s="2">
        <v>697000000</v>
      </c>
      <c r="I56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2091</v>
      </c>
      <c r="J56" s="1">
        <v>1959</v>
      </c>
      <c r="K56" s="4">
        <f t="shared" si="3"/>
        <v>0.93866794441782464</v>
      </c>
      <c r="L56" s="2">
        <f>Table1[[#This Row],['[Cells'] c/ml]]*Table1[[#This Row],[Rbc%]]</f>
        <v>654251557.25922382</v>
      </c>
      <c r="M56" s="4">
        <f>SUM(Table1[[#This Row],[Lymoph%]],Table1[[#This Row],[FE%]],Table1[[#This Row],[GT%]],Table1[[#This Row],[CE%]],Table1[[#This Row],[Neutro%]],Table1[[#This Row],[Basophil%]])</f>
        <v>3.3476805356288858E-2</v>
      </c>
      <c r="N56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24.067567567567568</v>
      </c>
      <c r="O56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24.067567567567568</v>
      </c>
      <c r="P56" s="2">
        <f>Table1[[#This Row],['[Cells'] c/ml]]*Table1[[#This Row],[granulocyte%]]</f>
        <v>23333333.333333332</v>
      </c>
      <c r="Q56" s="4">
        <f>SUM(Table1[[#This Row],[Lymoph%]],Table1[[#This Row],[GT%]],Table1[[#This Row],[FE%]],Table1[[#This Row],[CE%]],Table1[[#This Row],[Neutro%]],Table1[[#This Row],[Basophil%]],Table1[[#This Row],[Monocyte%]])</f>
        <v>3.5389765662362509E-2</v>
      </c>
      <c r="R56" s="2">
        <f>Table1[[#This Row],['[Cells'] c/ml]]*Table1[[#This Row],[wbc%]]</f>
        <v>24666666.666666668</v>
      </c>
      <c r="S56" s="7">
        <f>Table1[[#This Row],['[wbc']]]/Table1[[#This Row],['[Granulocyte']]]</f>
        <v>1.0571428571428572</v>
      </c>
      <c r="T56" s="7">
        <f>Table1[[#This Row],['[Rbc']]]/Table1[[#This Row],['[wbc']]]</f>
        <v>26.523711780779344</v>
      </c>
      <c r="U56" s="1">
        <v>40</v>
      </c>
      <c r="V56" s="4">
        <f>Table1[[#This Row],[Lympho_count]]/Table1[[#This Row],[total count]]</f>
        <v>1.9129603060736491E-2</v>
      </c>
      <c r="W56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0.54054054054054057</v>
      </c>
      <c r="X56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0.54054054054054057</v>
      </c>
      <c r="Y56" s="2">
        <f>Table1[[#This Row],['[Cells'] c/ml]]*Table1[[#This Row],[Lymoph%]]</f>
        <v>13333333.333333334</v>
      </c>
      <c r="Z56" s="1">
        <v>58</v>
      </c>
      <c r="AA56" s="4">
        <f>Table1[[#This Row],[Thrombo_count]]/Table1[[#This Row],[total count]]</f>
        <v>2.7737924438067909E-2</v>
      </c>
      <c r="AB56" s="2">
        <f>Table1[[#This Row],['[Cells'] c/ml]]*Table1[[#This Row],[Thrombo%]]</f>
        <v>19333333.333333332</v>
      </c>
      <c r="AC56" s="1">
        <v>0</v>
      </c>
      <c r="AD56" s="4">
        <f>Table1[[#This Row],[GT_count]]/Table1[[#This Row],[total count]]</f>
        <v>0</v>
      </c>
      <c r="AE56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0</v>
      </c>
      <c r="AF56" s="2">
        <f>Table1[[#This Row],['[Cells'] c/ml]]*Table1[[#This Row],[GT%]]</f>
        <v>0</v>
      </c>
      <c r="AG56" s="1">
        <v>8</v>
      </c>
      <c r="AH56" s="4">
        <f>Table1[[#This Row],[FE_count]]/Table1[[#This Row],[total count]]</f>
        <v>3.8259206121472981E-3</v>
      </c>
      <c r="AI56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0.10810810810810811</v>
      </c>
      <c r="AJ56" s="4">
        <f>Table1[[#This Row],[FE_count]]/(Table1[[#This Row],[Lympho_count]]+Table1[[#This Row],[FE_count]]+Table1[[#This Row],[CE_count]]+Table1[[#This Row],[Neutro_count]]+Table1[[#This Row],[Monocyte_count]]+Table1[[#This Row],[Basophil_count]])</f>
        <v>0.10810810810810811</v>
      </c>
      <c r="AK56" s="2">
        <f>Table1[[#This Row],['[Cells'] c/ml]]*Table1[[#This Row],[FE%]]</f>
        <v>2666666.666666667</v>
      </c>
      <c r="AL56" s="1">
        <v>16</v>
      </c>
      <c r="AM56" s="4">
        <f>Table1[[#This Row],[CE_count]]/Table1[[#This Row],[total count]]</f>
        <v>7.6518412242945963E-3</v>
      </c>
      <c r="AN56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0.21621621621621623</v>
      </c>
      <c r="AO56" s="4">
        <f>Table1[[#This Row],[CE_count]]/(Table1[[#This Row],[Lympho_count]]+Table1[[#This Row],[FE_count]]+Table1[[#This Row],[CE_count]]+Table1[[#This Row],[Neutro_count]]+Table1[[#This Row],[Monocyte_count]]+Table1[[#This Row],[Basophil_count]])</f>
        <v>0.21621621621621623</v>
      </c>
      <c r="AP56" s="2">
        <f>Table1[[#This Row],['[Cells'] c/ml]]*Table1[[#This Row],[CE%]]</f>
        <v>5333333.333333334</v>
      </c>
      <c r="AQ56" s="1">
        <v>5</v>
      </c>
      <c r="AR56" s="4">
        <f>Table1[[#This Row],[Neutro_count]]/Table1[[#This Row],[total count]]</f>
        <v>2.3912003825920613E-3</v>
      </c>
      <c r="AS56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6.7567567567567571E-2</v>
      </c>
      <c r="AT56" s="4">
        <f>Table1[[#This Row],[Neutro_count]]/(Table1[[#This Row],[Lympho_count]]+Table1[[#This Row],[FE_count]]+Table1[[#This Row],[CE_count]]+Table1[[#This Row],[Neutro_count]]+Table1[[#This Row],[Monocyte_count]]+Table1[[#This Row],[Basophil_count]])</f>
        <v>6.7567567567567571E-2</v>
      </c>
      <c r="AU56" s="2">
        <f>Table1[[#This Row],['[Cells'] c/ml]]*Table1[[#This Row],[Neutro%]]</f>
        <v>1666666.6666666667</v>
      </c>
      <c r="AV56" s="5">
        <v>4</v>
      </c>
      <c r="AW56" s="4">
        <f>Table1[[#This Row],[Monocyte_count]]/Table1[[#This Row],[total count]]</f>
        <v>1.9129603060736491E-3</v>
      </c>
      <c r="AX56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5.4054054054054057E-2</v>
      </c>
      <c r="AY56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5.4054054054054057E-2</v>
      </c>
      <c r="AZ56" s="2">
        <f>Table1[[#This Row],['[Cells'] c/ml]]*Table1[[#This Row],[Monocyte%]]</f>
        <v>1333333.3333333335</v>
      </c>
      <c r="BA56" s="1">
        <v>1</v>
      </c>
      <c r="BB56" s="4">
        <f>Table1[[#This Row],[Basophil_count]]/Table1[[#This Row],[total count]]</f>
        <v>4.7824007651841227E-4</v>
      </c>
      <c r="BC56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1.3513513513513514E-2</v>
      </c>
      <c r="BD56" s="4"/>
      <c r="BE56" s="2">
        <f>Table1[[#This Row],['[Cells'] c/ml]]*Table1[[#This Row],[Basophil%]]</f>
        <v>333333.33333333337</v>
      </c>
      <c r="BF56" s="1">
        <v>0</v>
      </c>
      <c r="BG56" s="4">
        <f>Table1[[#This Row],[immature_count]]/Table1[[#This Row],[total count]]</f>
        <v>0</v>
      </c>
      <c r="BH56" s="2">
        <f>Table1[[#This Row],['[Cells'] c/ml]]*Table1[[#This Row],[immature%]]</f>
        <v>0</v>
      </c>
      <c r="BI56" s="1">
        <v>0</v>
      </c>
      <c r="BJ56" s="4">
        <f>Table1[[#This Row],[mitosis_count]]/Table1[[#This Row],[total count]]</f>
        <v>0</v>
      </c>
      <c r="BK56" s="2">
        <f>Table1[[#This Row],['[Cells'] c/ml]]*Table1[[#This Row],[mitosis%]]</f>
        <v>0</v>
      </c>
      <c r="BL56" s="1">
        <v>0</v>
      </c>
      <c r="BM56" s="4">
        <f>Table1[[#This Row],[Abnormal_count]]/Table1[[#This Row],[total count]]</f>
        <v>0</v>
      </c>
      <c r="BN56" s="2">
        <f>Table1[[#This Row],['[Cells'] c/ml]]*Table1[[#This Row],[abnormal%]]</f>
        <v>0</v>
      </c>
    </row>
    <row r="57" spans="1:66" x14ac:dyDescent="0.25">
      <c r="A57" s="1" t="s">
        <v>8</v>
      </c>
      <c r="B57" s="1" t="s">
        <v>23</v>
      </c>
      <c r="C57" s="1" t="s">
        <v>15</v>
      </c>
      <c r="D57" s="1" t="s">
        <v>19</v>
      </c>
      <c r="E57" s="1">
        <v>8</v>
      </c>
      <c r="F57" s="3" t="s">
        <v>16</v>
      </c>
      <c r="G57" s="1" t="s">
        <v>16</v>
      </c>
      <c r="H57" s="2">
        <v>614500000</v>
      </c>
      <c r="I57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1911</v>
      </c>
      <c r="J57" s="1">
        <v>1782</v>
      </c>
      <c r="K57" s="4">
        <f t="shared" si="3"/>
        <v>0.93298429319371723</v>
      </c>
      <c r="L57" s="2">
        <f>Table1[[#This Row],['[Cells'] c/ml]]*Table1[[#This Row],[Rbc%]]</f>
        <v>573318848.16753924</v>
      </c>
      <c r="M57" s="4">
        <f>SUM(Table1[[#This Row],[Lymoph%]],Table1[[#This Row],[FE%]],Table1[[#This Row],[GT%]],Table1[[#This Row],[CE%]],Table1[[#This Row],[Neutro%]],Table1[[#This Row],[Basophil%]])</f>
        <v>4.1339612768184202E-2</v>
      </c>
      <c r="N57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30.024999999999999</v>
      </c>
      <c r="O57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27.025974025974026</v>
      </c>
      <c r="P57" s="2">
        <f>Table1[[#This Row],['[Cells'] c/ml]]*Table1[[#This Row],[granulocyte%]]</f>
        <v>25403192.046049193</v>
      </c>
      <c r="Q57" s="4">
        <f>SUM(Table1[[#This Row],[Lymoph%]],Table1[[#This Row],[GT%]],Table1[[#This Row],[FE%]],Table1[[#This Row],[CE%]],Table1[[#This Row],[Neutro%]],Table1[[#This Row],[Basophil%]],Table1[[#This Row],[Monocyte%]])</f>
        <v>4.1862899005756155E-2</v>
      </c>
      <c r="R57" s="2">
        <f>Table1[[#This Row],['[Cells'] c/ml]]*Table1[[#This Row],[wbc%]]</f>
        <v>25724751.439037155</v>
      </c>
      <c r="S57" s="7">
        <f>Table1[[#This Row],['[wbc']]]/Table1[[#This Row],['[Granulocyte']]]</f>
        <v>1.0126582278481011</v>
      </c>
      <c r="T57" s="7">
        <f>Table1[[#This Row],['[Rbc']]]/Table1[[#This Row],['[wbc']]]</f>
        <v>22.286662303664919</v>
      </c>
      <c r="U57" s="1">
        <v>47</v>
      </c>
      <c r="V57" s="4">
        <f>Table1[[#This Row],[Lympho_count]]/Table1[[#This Row],[total count]]</f>
        <v>2.4594453165881738E-2</v>
      </c>
      <c r="W57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0.58750000000000002</v>
      </c>
      <c r="X57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0.61038961038961037</v>
      </c>
      <c r="Y57" s="2">
        <f>Table1[[#This Row],['[Cells'] c/ml]]*Table1[[#This Row],[Lymoph%]]</f>
        <v>15113291.470434329</v>
      </c>
      <c r="Z57" s="1">
        <v>49</v>
      </c>
      <c r="AA57" s="4">
        <f>Table1[[#This Row],[Thrombo_count]]/Table1[[#This Row],[total count]]</f>
        <v>2.564102564102564E-2</v>
      </c>
      <c r="AB57" s="2">
        <f>Table1[[#This Row],['[Cells'] c/ml]]*Table1[[#This Row],[Thrombo%]]</f>
        <v>15756410.256410256</v>
      </c>
      <c r="AC57" s="1">
        <v>3</v>
      </c>
      <c r="AD57" s="4">
        <f>Table1[[#This Row],[GT_count]]/Table1[[#This Row],[total count]]</f>
        <v>1.5698587127158557E-3</v>
      </c>
      <c r="AE57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3.7499999999999999E-2</v>
      </c>
      <c r="AF57" s="2">
        <f>Table1[[#This Row],['[Cells'] c/ml]]*Table1[[#This Row],[GT%]]</f>
        <v>964678.17896389333</v>
      </c>
      <c r="AG57" s="1">
        <v>16</v>
      </c>
      <c r="AH57" s="4">
        <f>Table1[[#This Row],[FE_count]]/Table1[[#This Row],[total count]]</f>
        <v>8.3725798011512302E-3</v>
      </c>
      <c r="AI57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0.2</v>
      </c>
      <c r="AJ57" s="4">
        <f>Table1[[#This Row],[FE_count]]/(Table1[[#This Row],[Lympho_count]]+Table1[[#This Row],[FE_count]]+Table1[[#This Row],[CE_count]]+Table1[[#This Row],[Neutro_count]]+Table1[[#This Row],[Monocyte_count]]+Table1[[#This Row],[Basophil_count]])</f>
        <v>0.20779220779220781</v>
      </c>
      <c r="AK57" s="2">
        <f>Table1[[#This Row],['[Cells'] c/ml]]*Table1[[#This Row],[FE%]]</f>
        <v>5144950.2878074311</v>
      </c>
      <c r="AL57" s="1">
        <v>11</v>
      </c>
      <c r="AM57" s="4">
        <f>Table1[[#This Row],[CE_count]]/Table1[[#This Row],[total count]]</f>
        <v>5.7561486132914706E-3</v>
      </c>
      <c r="AN57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0.13750000000000001</v>
      </c>
      <c r="AO57" s="4">
        <f>Table1[[#This Row],[CE_count]]/(Table1[[#This Row],[Lympho_count]]+Table1[[#This Row],[FE_count]]+Table1[[#This Row],[CE_count]]+Table1[[#This Row],[Neutro_count]]+Table1[[#This Row],[Monocyte_count]]+Table1[[#This Row],[Basophil_count]])</f>
        <v>0.14285714285714285</v>
      </c>
      <c r="AP57" s="2">
        <f>Table1[[#This Row],['[Cells'] c/ml]]*Table1[[#This Row],[CE%]]</f>
        <v>3537153.3228676086</v>
      </c>
      <c r="AQ57" s="1">
        <v>2</v>
      </c>
      <c r="AR57" s="4">
        <f>Table1[[#This Row],[Neutro_count]]/Table1[[#This Row],[total count]]</f>
        <v>1.0465724751439038E-3</v>
      </c>
      <c r="AS57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2.5000000000000001E-2</v>
      </c>
      <c r="AT57" s="4">
        <f>Table1[[#This Row],[Neutro_count]]/(Table1[[#This Row],[Lympho_count]]+Table1[[#This Row],[FE_count]]+Table1[[#This Row],[CE_count]]+Table1[[#This Row],[Neutro_count]]+Table1[[#This Row],[Monocyte_count]]+Table1[[#This Row],[Basophil_count]])</f>
        <v>2.5974025974025976E-2</v>
      </c>
      <c r="AU57" s="2">
        <f>Table1[[#This Row],['[Cells'] c/ml]]*Table1[[#This Row],[Neutro%]]</f>
        <v>643118.78597592888</v>
      </c>
      <c r="AV57" s="5">
        <v>1</v>
      </c>
      <c r="AW57" s="4">
        <f>Table1[[#This Row],[Monocyte_count]]/Table1[[#This Row],[total count]]</f>
        <v>5.2328623757195189E-4</v>
      </c>
      <c r="AX57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1.2500000000000001E-2</v>
      </c>
      <c r="AY57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1.2987012987012988E-2</v>
      </c>
      <c r="AZ57" s="2">
        <f>Table1[[#This Row],['[Cells'] c/ml]]*Table1[[#This Row],[Monocyte%]]</f>
        <v>321559.39298796444</v>
      </c>
      <c r="BA57" s="1">
        <v>0</v>
      </c>
      <c r="BB57" s="4">
        <f>Table1[[#This Row],[Basophil_count]]/Table1[[#This Row],[total count]]</f>
        <v>0</v>
      </c>
      <c r="BC57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D57" s="4"/>
      <c r="BE57" s="2">
        <f>Table1[[#This Row],['[Cells'] c/ml]]*Table1[[#This Row],[Basophil%]]</f>
        <v>0</v>
      </c>
      <c r="BF57" s="1">
        <v>0</v>
      </c>
      <c r="BG57" s="4">
        <f>Table1[[#This Row],[immature_count]]/Table1[[#This Row],[total count]]</f>
        <v>0</v>
      </c>
      <c r="BH57" s="2">
        <f>Table1[[#This Row],['[Cells'] c/ml]]*Table1[[#This Row],[immature%]]</f>
        <v>0</v>
      </c>
      <c r="BI57" s="1">
        <v>0</v>
      </c>
      <c r="BJ57" s="4">
        <f>Table1[[#This Row],[mitosis_count]]/Table1[[#This Row],[total count]]</f>
        <v>0</v>
      </c>
      <c r="BK57" s="2">
        <f>Table1[[#This Row],['[Cells'] c/ml]]*Table1[[#This Row],[mitosis%]]</f>
        <v>0</v>
      </c>
      <c r="BL57" s="1">
        <v>0</v>
      </c>
      <c r="BM57" s="4">
        <f>Table1[[#This Row],[Abnormal_count]]/Table1[[#This Row],[total count]]</f>
        <v>0</v>
      </c>
      <c r="BN57" s="2">
        <f>Table1[[#This Row],['[Cells'] c/ml]]*Table1[[#This Row],[abnormal%]]</f>
        <v>0</v>
      </c>
    </row>
    <row r="58" spans="1:66" x14ac:dyDescent="0.25">
      <c r="H58" s="2"/>
      <c r="K58" s="4"/>
      <c r="L58" s="2"/>
      <c r="M58" s="4"/>
      <c r="O58" s="7"/>
      <c r="P58" s="2"/>
      <c r="R58" s="2"/>
      <c r="V58" s="4"/>
      <c r="W58" s="4"/>
      <c r="X58" s="4"/>
      <c r="Y58" s="2"/>
      <c r="AA58" s="4"/>
      <c r="AB58" s="2"/>
      <c r="AD58" s="4"/>
      <c r="AE58" s="4"/>
      <c r="AF58" s="2"/>
      <c r="AH58" s="4"/>
      <c r="AI58" s="4"/>
      <c r="AJ58" s="4"/>
      <c r="AK58" s="2"/>
      <c r="AM58" s="4"/>
      <c r="AN58" s="4"/>
      <c r="AO58" s="4"/>
      <c r="AP58" s="2"/>
      <c r="AR58" s="4"/>
      <c r="AS58" s="4"/>
      <c r="AT58" s="4"/>
      <c r="AU58" s="2"/>
      <c r="AV58" s="5"/>
      <c r="AW58" s="4"/>
      <c r="AX58" s="4"/>
      <c r="AY58" s="4"/>
      <c r="AZ58" s="2"/>
      <c r="BA58" s="1"/>
      <c r="BB58" s="4"/>
      <c r="BC58" s="4"/>
      <c r="BD58" s="4"/>
      <c r="BE58" s="2"/>
      <c r="BF58" s="1"/>
      <c r="BG58" s="4"/>
      <c r="BH58" s="2"/>
      <c r="BI58" s="1"/>
      <c r="BJ58" s="4"/>
      <c r="BK58" s="2"/>
      <c r="BM58" s="4"/>
      <c r="BN58" s="2"/>
    </row>
    <row r="59" spans="1:66" x14ac:dyDescent="0.25">
      <c r="A59" s="1" t="s">
        <v>104</v>
      </c>
      <c r="B59" s="1" t="s">
        <v>24</v>
      </c>
      <c r="C59" s="1" t="s">
        <v>10</v>
      </c>
      <c r="D59" s="1" t="s">
        <v>25</v>
      </c>
      <c r="E59" s="1">
        <v>8</v>
      </c>
      <c r="F59" s="3" t="s">
        <v>20</v>
      </c>
      <c r="G59" s="1">
        <v>0</v>
      </c>
      <c r="H59" s="2">
        <v>619500000</v>
      </c>
      <c r="I59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2196</v>
      </c>
      <c r="J59" s="1">
        <v>2045</v>
      </c>
      <c r="K59" s="4">
        <f t="shared" ref="K59:K66" si="5">J59/SUM(J59+U59,Z59,AC59,AG59,AL59,AQ59,BA59,BF59,BI59)</f>
        <v>0.93678424186898768</v>
      </c>
      <c r="L59" s="2">
        <f>Table1[[#This Row],['[Cells'] c/ml]]*Table1[[#This Row],[Rbc%]]</f>
        <v>580337837.83783782</v>
      </c>
      <c r="M59" s="4">
        <f>SUM(Table1[[#This Row],[Lymoph%]],Table1[[#This Row],[FE%]],Table1[[#This Row],[GT%]],Table1[[#This Row],[CE%]],Table1[[#This Row],[Neutro%]],Table1[[#This Row],[Basophil%]])</f>
        <v>4.5992714025500911E-2</v>
      </c>
      <c r="N59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19.096491228070175</v>
      </c>
      <c r="O59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17.098214285714285</v>
      </c>
      <c r="P59" s="2">
        <f>Table1[[#This Row],['[Cells'] c/ml]]*Table1[[#This Row],[granulocyte%]]</f>
        <v>28492486.338797815</v>
      </c>
      <c r="Q59" s="4">
        <f>SUM(Table1[[#This Row],[Lymoph%]],Table1[[#This Row],[GT%]],Table1[[#This Row],[FE%]],Table1[[#This Row],[CE%]],Table1[[#This Row],[Neutro%]],Table1[[#This Row],[Basophil%]],Table1[[#This Row],[Monocyte%]])</f>
        <v>5.1912568306010931E-2</v>
      </c>
      <c r="R59" s="2">
        <f>Table1[[#This Row],['[Cells'] c/ml]]*Table1[[#This Row],[wbc%]]</f>
        <v>32159836.065573771</v>
      </c>
      <c r="S59" s="7">
        <f>Table1[[#This Row],['[wbc']]]/Table1[[#This Row],['[Granulocyte']]]</f>
        <v>1.1287128712871286</v>
      </c>
      <c r="T59" s="7">
        <f>Table1[[#This Row],['[Rbc']]]/Table1[[#This Row],['[wbc']]]</f>
        <v>18.045422764423655</v>
      </c>
      <c r="U59" s="1">
        <v>71</v>
      </c>
      <c r="V59" s="4">
        <f>Table1[[#This Row],[Lympho_count]]/Table1[[#This Row],[total count]]</f>
        <v>3.233151183970856E-2</v>
      </c>
      <c r="W59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0.6228070175438597</v>
      </c>
      <c r="X59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0.6339285714285714</v>
      </c>
      <c r="Y59" s="2">
        <f>Table1[[#This Row],['[Cells'] c/ml]]*Table1[[#This Row],[Lymoph%]]</f>
        <v>20029371.584699452</v>
      </c>
      <c r="Z59" s="1">
        <v>37</v>
      </c>
      <c r="AA59" s="4">
        <f>Table1[[#This Row],[Thrombo_count]]/Table1[[#This Row],[total count]]</f>
        <v>1.6848816029143898E-2</v>
      </c>
      <c r="AB59" s="2">
        <f>Table1[[#This Row],['[Cells'] c/ml]]*Table1[[#This Row],[Thrombo%]]</f>
        <v>10437841.530054646</v>
      </c>
      <c r="AC59" s="1">
        <v>2</v>
      </c>
      <c r="AD59" s="4">
        <f>Table1[[#This Row],[GT_count]]/Table1[[#This Row],[total count]]</f>
        <v>9.1074681238615665E-4</v>
      </c>
      <c r="AE59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1.7543859649122806E-2</v>
      </c>
      <c r="AF59" s="2">
        <f>Table1[[#This Row],['[Cells'] c/ml]]*Table1[[#This Row],[GT%]]</f>
        <v>564207.65027322399</v>
      </c>
      <c r="AG59" s="1">
        <v>5</v>
      </c>
      <c r="AH59" s="4">
        <f>Table1[[#This Row],[FE_count]]/Table1[[#This Row],[total count]]</f>
        <v>2.2768670309653918E-3</v>
      </c>
      <c r="AI59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4.3859649122807015E-2</v>
      </c>
      <c r="AJ59" s="4">
        <f>Table1[[#This Row],[FE_count]]/(Table1[[#This Row],[Lympho_count]]+Table1[[#This Row],[FE_count]]+Table1[[#This Row],[CE_count]]+Table1[[#This Row],[Neutro_count]]+Table1[[#This Row],[Monocyte_count]]+Table1[[#This Row],[Basophil_count]])</f>
        <v>4.4642857142857144E-2</v>
      </c>
      <c r="AK59" s="2">
        <f>Table1[[#This Row],['[Cells'] c/ml]]*Table1[[#This Row],[FE%]]</f>
        <v>1410519.1256830601</v>
      </c>
      <c r="AL59" s="1">
        <v>12</v>
      </c>
      <c r="AM59" s="4">
        <f>Table1[[#This Row],[CE_count]]/Table1[[#This Row],[total count]]</f>
        <v>5.4644808743169399E-3</v>
      </c>
      <c r="AN59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0.10526315789473684</v>
      </c>
      <c r="AO59" s="4">
        <f>Table1[[#This Row],[CE_count]]/(Table1[[#This Row],[Lympho_count]]+Table1[[#This Row],[FE_count]]+Table1[[#This Row],[CE_count]]+Table1[[#This Row],[Neutro_count]]+Table1[[#This Row],[Monocyte_count]]+Table1[[#This Row],[Basophil_count]])</f>
        <v>0.10714285714285714</v>
      </c>
      <c r="AP59" s="2">
        <f>Table1[[#This Row],['[Cells'] c/ml]]*Table1[[#This Row],[CE%]]</f>
        <v>3385245.9016393442</v>
      </c>
      <c r="AQ59" s="1">
        <v>11</v>
      </c>
      <c r="AR59" s="4">
        <f>Table1[[#This Row],[Neutro_count]]/Table1[[#This Row],[total count]]</f>
        <v>5.0091074681238613E-3</v>
      </c>
      <c r="AS59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9.6491228070175433E-2</v>
      </c>
      <c r="AT59" s="4">
        <f>Table1[[#This Row],[Neutro_count]]/(Table1[[#This Row],[Lympho_count]]+Table1[[#This Row],[FE_count]]+Table1[[#This Row],[CE_count]]+Table1[[#This Row],[Neutro_count]]+Table1[[#This Row],[Monocyte_count]]+Table1[[#This Row],[Basophil_count]])</f>
        <v>9.8214285714285712E-2</v>
      </c>
      <c r="AU59" s="2">
        <f>Table1[[#This Row],['[Cells'] c/ml]]*Table1[[#This Row],[Neutro%]]</f>
        <v>3103142.076502732</v>
      </c>
      <c r="AV59" s="5">
        <v>13</v>
      </c>
      <c r="AW59" s="4">
        <f>Table1[[#This Row],[Monocyte_count]]/Table1[[#This Row],[total count]]</f>
        <v>5.9198542805100184E-3</v>
      </c>
      <c r="AX59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0.11403508771929824</v>
      </c>
      <c r="AY59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0.11607142857142858</v>
      </c>
      <c r="AZ59" s="2">
        <f>Table1[[#This Row],['[Cells'] c/ml]]*Table1[[#This Row],[Monocyte%]]</f>
        <v>3667349.7267759563</v>
      </c>
      <c r="BA59" s="1">
        <v>0</v>
      </c>
      <c r="BB59" s="4">
        <f>Table1[[#This Row],[Basophil_count]]/Table1[[#This Row],[total count]]</f>
        <v>0</v>
      </c>
      <c r="BC59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D59" s="4"/>
      <c r="BE59" s="2">
        <f>Table1[[#This Row],['[Cells'] c/ml]]*Table1[[#This Row],[Basophil%]]</f>
        <v>0</v>
      </c>
      <c r="BF59" s="1">
        <v>0</v>
      </c>
      <c r="BG59" s="4">
        <f>Table1[[#This Row],[immature_count]]/Table1[[#This Row],[total count]]</f>
        <v>0</v>
      </c>
      <c r="BH59" s="2">
        <f>Table1[[#This Row],['[Cells'] c/ml]]*Table1[[#This Row],[immature%]]</f>
        <v>0</v>
      </c>
      <c r="BI59" s="1">
        <v>0</v>
      </c>
      <c r="BJ59" s="4">
        <f>Table1[[#This Row],[mitosis_count]]/Table1[[#This Row],[total count]]</f>
        <v>0</v>
      </c>
      <c r="BK59" s="2">
        <f>Table1[[#This Row],['[Cells'] c/ml]]*Table1[[#This Row],[mitosis%]]</f>
        <v>0</v>
      </c>
      <c r="BL59" s="1">
        <v>0</v>
      </c>
      <c r="BM59" s="4">
        <f>Table1[[#This Row],[Abnormal_count]]/Table1[[#This Row],[total count]]</f>
        <v>0</v>
      </c>
      <c r="BN59" s="2">
        <f>Table1[[#This Row],['[Cells'] c/ml]]*Table1[[#This Row],[abnormal%]]</f>
        <v>0</v>
      </c>
    </row>
    <row r="60" spans="1:66" x14ac:dyDescent="0.25">
      <c r="A60" s="1" t="s">
        <v>104</v>
      </c>
      <c r="B60" s="1" t="s">
        <v>26</v>
      </c>
      <c r="C60" s="1" t="s">
        <v>10</v>
      </c>
      <c r="D60" s="1" t="s">
        <v>25</v>
      </c>
      <c r="E60" s="1">
        <v>8</v>
      </c>
      <c r="F60" s="3" t="s">
        <v>20</v>
      </c>
      <c r="G60" s="1">
        <v>0</v>
      </c>
      <c r="H60" s="2">
        <v>375500000</v>
      </c>
      <c r="I60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2198</v>
      </c>
      <c r="J60" s="1">
        <v>2053</v>
      </c>
      <c r="K60" s="4">
        <f t="shared" si="5"/>
        <v>0.93787117405207854</v>
      </c>
      <c r="L60" s="2">
        <f>Table1[[#This Row],['[Cells'] c/ml]]*Table1[[#This Row],[Rbc%]]</f>
        <v>352170625.85655546</v>
      </c>
      <c r="M60" s="4">
        <f>SUM(Table1[[#This Row],[Lymoph%]],Table1[[#This Row],[FE%]],Table1[[#This Row],[GT%]],Table1[[#This Row],[CE%]],Table1[[#This Row],[Neutro%]],Table1[[#This Row],[Basophil%]])</f>
        <v>3.6851683348498636E-2</v>
      </c>
      <c r="N60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14.033333333333333</v>
      </c>
      <c r="O60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11.03448275862069</v>
      </c>
      <c r="P60" s="2">
        <f>Table1[[#This Row],['[Cells'] c/ml]]*Table1[[#This Row],[granulocyte%]]</f>
        <v>13837807.097361239</v>
      </c>
      <c r="Q60" s="4">
        <f>SUM(Table1[[#This Row],[Lymoph%]],Table1[[#This Row],[GT%]],Table1[[#This Row],[FE%]],Table1[[#This Row],[CE%]],Table1[[#This Row],[Neutro%]],Table1[[#This Row],[Basophil%]],Table1[[#This Row],[Monocyte%]])</f>
        <v>4.0946314831665151E-2</v>
      </c>
      <c r="R60" s="2">
        <f>Table1[[#This Row],['[Cells'] c/ml]]*Table1[[#This Row],[wbc%]]</f>
        <v>15375341.219290264</v>
      </c>
      <c r="S60" s="7">
        <f>Table1[[#This Row],['[wbc']]]/Table1[[#This Row],['[Granulocyte']]]</f>
        <v>1.1111111111111109</v>
      </c>
      <c r="T60" s="7">
        <f>Table1[[#This Row],['[Rbc']]]/Table1[[#This Row],['[wbc']]]</f>
        <v>22.904898228516316</v>
      </c>
      <c r="U60" s="1">
        <v>63</v>
      </c>
      <c r="V60" s="4">
        <f>Table1[[#This Row],[Lympho_count]]/Table1[[#This Row],[total count]]</f>
        <v>2.8662420382165606E-2</v>
      </c>
      <c r="W60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0.7</v>
      </c>
      <c r="X60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0.72413793103448276</v>
      </c>
      <c r="Y60" s="2">
        <f>Table1[[#This Row],['[Cells'] c/ml]]*Table1[[#This Row],[Lymoph%]]</f>
        <v>10762738.853503184</v>
      </c>
      <c r="Z60" s="1">
        <v>50</v>
      </c>
      <c r="AA60" s="4">
        <f>Table1[[#This Row],[Thrombo_count]]/Table1[[#This Row],[total count]]</f>
        <v>2.2747952684258416E-2</v>
      </c>
      <c r="AB60" s="2">
        <f>Table1[[#This Row],['[Cells'] c/ml]]*Table1[[#This Row],[Thrombo%]]</f>
        <v>8541856.2329390347</v>
      </c>
      <c r="AC60" s="1">
        <v>3</v>
      </c>
      <c r="AD60" s="4">
        <f>Table1[[#This Row],[GT_count]]/Table1[[#This Row],[total count]]</f>
        <v>1.3648771610555051E-3</v>
      </c>
      <c r="AE60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3.3333333333333333E-2</v>
      </c>
      <c r="AF60" s="2">
        <f>Table1[[#This Row],['[Cells'] c/ml]]*Table1[[#This Row],[GT%]]</f>
        <v>512511.37397634215</v>
      </c>
      <c r="AG60" s="1">
        <v>3</v>
      </c>
      <c r="AH60" s="4">
        <f>Table1[[#This Row],[FE_count]]/Table1[[#This Row],[total count]]</f>
        <v>1.3648771610555051E-3</v>
      </c>
      <c r="AI60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3.3333333333333333E-2</v>
      </c>
      <c r="AJ60" s="4">
        <f>Table1[[#This Row],[FE_count]]/(Table1[[#This Row],[Lympho_count]]+Table1[[#This Row],[FE_count]]+Table1[[#This Row],[CE_count]]+Table1[[#This Row],[Neutro_count]]+Table1[[#This Row],[Monocyte_count]]+Table1[[#This Row],[Basophil_count]])</f>
        <v>3.4482758620689655E-2</v>
      </c>
      <c r="AK60" s="2">
        <f>Table1[[#This Row],['[Cells'] c/ml]]*Table1[[#This Row],[FE%]]</f>
        <v>512511.37397634215</v>
      </c>
      <c r="AL60" s="1">
        <v>8</v>
      </c>
      <c r="AM60" s="4">
        <f>Table1[[#This Row],[CE_count]]/Table1[[#This Row],[total count]]</f>
        <v>3.6396724294813468E-3</v>
      </c>
      <c r="AN60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8.8888888888888892E-2</v>
      </c>
      <c r="AO60" s="4">
        <f>Table1[[#This Row],[CE_count]]/(Table1[[#This Row],[Lympho_count]]+Table1[[#This Row],[FE_count]]+Table1[[#This Row],[CE_count]]+Table1[[#This Row],[Neutro_count]]+Table1[[#This Row],[Monocyte_count]]+Table1[[#This Row],[Basophil_count]])</f>
        <v>9.1954022988505746E-2</v>
      </c>
      <c r="AP60" s="2">
        <f>Table1[[#This Row],['[Cells'] c/ml]]*Table1[[#This Row],[CE%]]</f>
        <v>1366696.9972702458</v>
      </c>
      <c r="AQ60" s="1">
        <v>3</v>
      </c>
      <c r="AR60" s="4">
        <f>Table1[[#This Row],[Neutro_count]]/Table1[[#This Row],[total count]]</f>
        <v>1.3648771610555051E-3</v>
      </c>
      <c r="AS60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3.3333333333333333E-2</v>
      </c>
      <c r="AT60" s="4">
        <f>Table1[[#This Row],[Neutro_count]]/(Table1[[#This Row],[Lympho_count]]+Table1[[#This Row],[FE_count]]+Table1[[#This Row],[CE_count]]+Table1[[#This Row],[Neutro_count]]+Table1[[#This Row],[Monocyte_count]]+Table1[[#This Row],[Basophil_count]])</f>
        <v>3.4482758620689655E-2</v>
      </c>
      <c r="AU60" s="2">
        <f>Table1[[#This Row],['[Cells'] c/ml]]*Table1[[#This Row],[Neutro%]]</f>
        <v>512511.37397634215</v>
      </c>
      <c r="AV60" s="5">
        <v>9</v>
      </c>
      <c r="AW60" s="4">
        <f>Table1[[#This Row],[Monocyte_count]]/Table1[[#This Row],[total count]]</f>
        <v>4.0946314831665151E-3</v>
      </c>
      <c r="AX60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0.1</v>
      </c>
      <c r="AY60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0.10344827586206896</v>
      </c>
      <c r="AZ60" s="2">
        <f>Table1[[#This Row],['[Cells'] c/ml]]*Table1[[#This Row],[Monocyte%]]</f>
        <v>1537534.1219290264</v>
      </c>
      <c r="BA60" s="1">
        <v>1</v>
      </c>
      <c r="BB60" s="4">
        <f>Table1[[#This Row],[Basophil_count]]/Table1[[#This Row],[total count]]</f>
        <v>4.5495905368516835E-4</v>
      </c>
      <c r="BC60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1.1494252873563218E-2</v>
      </c>
      <c r="BD60" s="4"/>
      <c r="BE60" s="2">
        <f>Table1[[#This Row],['[Cells'] c/ml]]*Table1[[#This Row],[Basophil%]]</f>
        <v>170837.12465878073</v>
      </c>
      <c r="BF60" s="1">
        <v>3</v>
      </c>
      <c r="BG60" s="4">
        <f>Table1[[#This Row],[immature_count]]/Table1[[#This Row],[total count]]</f>
        <v>1.3648771610555051E-3</v>
      </c>
      <c r="BH60" s="2">
        <f>Table1[[#This Row],['[Cells'] c/ml]]*Table1[[#This Row],[immature%]]</f>
        <v>512511.37397634215</v>
      </c>
      <c r="BI60" s="1">
        <v>2</v>
      </c>
      <c r="BJ60" s="4">
        <f>Table1[[#This Row],[mitosis_count]]/Table1[[#This Row],[total count]]</f>
        <v>9.099181073703367E-4</v>
      </c>
      <c r="BK60" s="2">
        <f>Table1[[#This Row],['[Cells'] c/ml]]*Table1[[#This Row],[mitosis%]]</f>
        <v>341674.24931756145</v>
      </c>
      <c r="BL60" s="1">
        <v>0</v>
      </c>
      <c r="BM60" s="4">
        <f>Table1[[#This Row],[Abnormal_count]]/Table1[[#This Row],[total count]]</f>
        <v>0</v>
      </c>
      <c r="BN60" s="2">
        <f>Table1[[#This Row],['[Cells'] c/ml]]*Table1[[#This Row],[abnormal%]]</f>
        <v>0</v>
      </c>
    </row>
    <row r="61" spans="1:66" x14ac:dyDescent="0.25">
      <c r="A61" s="1" t="s">
        <v>104</v>
      </c>
      <c r="B61" s="1" t="s">
        <v>27</v>
      </c>
      <c r="C61" s="1" t="s">
        <v>15</v>
      </c>
      <c r="D61" s="1" t="s">
        <v>25</v>
      </c>
      <c r="E61" s="1">
        <v>8</v>
      </c>
      <c r="F61" s="3" t="s">
        <v>16</v>
      </c>
      <c r="G61" s="1" t="s">
        <v>16</v>
      </c>
      <c r="H61" s="2">
        <v>524500000</v>
      </c>
      <c r="I61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2162</v>
      </c>
      <c r="J61" s="1">
        <v>2036</v>
      </c>
      <c r="K61" s="4">
        <f t="shared" si="5"/>
        <v>0.94477958236658932</v>
      </c>
      <c r="L61" s="2">
        <f>Table1[[#This Row],['[Cells'] c/ml]]*Table1[[#This Row],[Rbc%]]</f>
        <v>495536890.95127612</v>
      </c>
      <c r="M61" s="4">
        <f>SUM(Table1[[#This Row],[Lymoph%]],Table1[[#This Row],[FE%]],Table1[[#This Row],[GT%]],Table1[[#This Row],[CE%]],Table1[[#This Row],[Neutro%]],Table1[[#This Row],[Basophil%]])</f>
        <v>3.2839962997224796E-2</v>
      </c>
      <c r="N61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13.064102564102564</v>
      </c>
      <c r="O61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11.065789473684211</v>
      </c>
      <c r="P61" s="2">
        <f>Table1[[#This Row],['[Cells'] c/ml]]*Table1[[#This Row],[granulocyte%]]</f>
        <v>17224560.592044406</v>
      </c>
      <c r="Q61" s="4">
        <f>SUM(Table1[[#This Row],[Lymoph%]],Table1[[#This Row],[GT%]],Table1[[#This Row],[FE%]],Table1[[#This Row],[CE%]],Table1[[#This Row],[Neutro%]],Table1[[#This Row],[Basophil%]],Table1[[#This Row],[Monocyte%]])</f>
        <v>3.6077705827937102E-2</v>
      </c>
      <c r="R61" s="2">
        <f>Table1[[#This Row],['[Cells'] c/ml]]*Table1[[#This Row],[wbc%]]</f>
        <v>18922756.706753012</v>
      </c>
      <c r="S61" s="7">
        <f>Table1[[#This Row],['[wbc']]]/Table1[[#This Row],['[Granulocyte']]]</f>
        <v>1.0985915492957747</v>
      </c>
      <c r="T61" s="7">
        <f>Table1[[#This Row],['[Rbc']]]/Table1[[#This Row],['[wbc']]]</f>
        <v>26.187352013802123</v>
      </c>
      <c r="U61" s="1">
        <v>50</v>
      </c>
      <c r="V61" s="4">
        <f>Table1[[#This Row],[Lympho_count]]/Table1[[#This Row],[total count]]</f>
        <v>2.3126734505087881E-2</v>
      </c>
      <c r="W61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0.64102564102564108</v>
      </c>
      <c r="X61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0.65789473684210531</v>
      </c>
      <c r="Y61" s="2">
        <f>Table1[[#This Row],['[Cells'] c/ml]]*Table1[[#This Row],[Lymoph%]]</f>
        <v>12129972.247918593</v>
      </c>
      <c r="Z61" s="1">
        <v>48</v>
      </c>
      <c r="AA61" s="4">
        <f>Table1[[#This Row],[Thrombo_count]]/Table1[[#This Row],[total count]]</f>
        <v>2.2201665124884366E-2</v>
      </c>
      <c r="AB61" s="2">
        <f>Table1[[#This Row],['[Cells'] c/ml]]*Table1[[#This Row],[Thrombo%]]</f>
        <v>11644773.358001851</v>
      </c>
      <c r="AC61" s="1">
        <v>2</v>
      </c>
      <c r="AD61" s="4">
        <f>Table1[[#This Row],[GT_count]]/Table1[[#This Row],[total count]]</f>
        <v>9.2506938020351531E-4</v>
      </c>
      <c r="AE61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2.564102564102564E-2</v>
      </c>
      <c r="AF61" s="2">
        <f>Table1[[#This Row],['[Cells'] c/ml]]*Table1[[#This Row],[GT%]]</f>
        <v>485198.88991674379</v>
      </c>
      <c r="AG61" s="1">
        <v>4</v>
      </c>
      <c r="AH61" s="4">
        <f>Table1[[#This Row],[FE_count]]/Table1[[#This Row],[total count]]</f>
        <v>1.8501387604070306E-3</v>
      </c>
      <c r="AI61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5.128205128205128E-2</v>
      </c>
      <c r="AJ61" s="4">
        <f>Table1[[#This Row],[FE_count]]/(Table1[[#This Row],[Lympho_count]]+Table1[[#This Row],[FE_count]]+Table1[[#This Row],[CE_count]]+Table1[[#This Row],[Neutro_count]]+Table1[[#This Row],[Monocyte_count]]+Table1[[#This Row],[Basophil_count]])</f>
        <v>5.2631578947368418E-2</v>
      </c>
      <c r="AK61" s="2">
        <f>Table1[[#This Row],['[Cells'] c/ml]]*Table1[[#This Row],[FE%]]</f>
        <v>970397.77983348758</v>
      </c>
      <c r="AL61" s="1">
        <v>7</v>
      </c>
      <c r="AM61" s="4">
        <f>Table1[[#This Row],[CE_count]]/Table1[[#This Row],[total count]]</f>
        <v>3.2377428307123032E-3</v>
      </c>
      <c r="AN61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8.9743589743589744E-2</v>
      </c>
      <c r="AO61" s="4">
        <f>Table1[[#This Row],[CE_count]]/(Table1[[#This Row],[Lympho_count]]+Table1[[#This Row],[FE_count]]+Table1[[#This Row],[CE_count]]+Table1[[#This Row],[Neutro_count]]+Table1[[#This Row],[Monocyte_count]]+Table1[[#This Row],[Basophil_count]])</f>
        <v>9.2105263157894732E-2</v>
      </c>
      <c r="AP61" s="2">
        <f>Table1[[#This Row],['[Cells'] c/ml]]*Table1[[#This Row],[CE%]]</f>
        <v>1698196.1147086031</v>
      </c>
      <c r="AQ61" s="1">
        <v>5</v>
      </c>
      <c r="AR61" s="4">
        <f>Table1[[#This Row],[Neutro_count]]/Table1[[#This Row],[total count]]</f>
        <v>2.3126734505087882E-3</v>
      </c>
      <c r="AS61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6.4102564102564097E-2</v>
      </c>
      <c r="AT61" s="4">
        <f>Table1[[#This Row],[Neutro_count]]/(Table1[[#This Row],[Lympho_count]]+Table1[[#This Row],[FE_count]]+Table1[[#This Row],[CE_count]]+Table1[[#This Row],[Neutro_count]]+Table1[[#This Row],[Monocyte_count]]+Table1[[#This Row],[Basophil_count]])</f>
        <v>6.5789473684210523E-2</v>
      </c>
      <c r="AU61" s="2">
        <f>Table1[[#This Row],['[Cells'] c/ml]]*Table1[[#This Row],[Neutro%]]</f>
        <v>1212997.2247918593</v>
      </c>
      <c r="AV61" s="5">
        <v>7</v>
      </c>
      <c r="AW61" s="4">
        <f>Table1[[#This Row],[Monocyte_count]]/Table1[[#This Row],[total count]]</f>
        <v>3.2377428307123032E-3</v>
      </c>
      <c r="AX61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8.9743589743589744E-2</v>
      </c>
      <c r="AY61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9.2105263157894732E-2</v>
      </c>
      <c r="AZ61" s="2">
        <f>Table1[[#This Row],['[Cells'] c/ml]]*Table1[[#This Row],[Monocyte%]]</f>
        <v>1698196.1147086031</v>
      </c>
      <c r="BA61" s="1">
        <v>3</v>
      </c>
      <c r="BB61" s="4">
        <f>Table1[[#This Row],[Basophil_count]]/Table1[[#This Row],[total count]]</f>
        <v>1.3876040703052729E-3</v>
      </c>
      <c r="BC61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3.9473684210526314E-2</v>
      </c>
      <c r="BD61" s="4"/>
      <c r="BE61" s="2">
        <f>Table1[[#This Row],['[Cells'] c/ml]]*Table1[[#This Row],[Basophil%]]</f>
        <v>727798.33487511566</v>
      </c>
      <c r="BF61" s="1">
        <v>0</v>
      </c>
      <c r="BG61" s="4">
        <f>Table1[[#This Row],[immature_count]]/Table1[[#This Row],[total count]]</f>
        <v>0</v>
      </c>
      <c r="BH61" s="2">
        <f>Table1[[#This Row],['[Cells'] c/ml]]*Table1[[#This Row],[immature%]]</f>
        <v>0</v>
      </c>
      <c r="BI61" s="1">
        <v>0</v>
      </c>
      <c r="BJ61" s="4">
        <f>Table1[[#This Row],[mitosis_count]]/Table1[[#This Row],[total count]]</f>
        <v>0</v>
      </c>
      <c r="BK61" s="2">
        <f>Table1[[#This Row],['[Cells'] c/ml]]*Table1[[#This Row],[mitosis%]]</f>
        <v>0</v>
      </c>
      <c r="BL61" s="1">
        <v>0</v>
      </c>
      <c r="BM61" s="4">
        <f>Table1[[#This Row],[Abnormal_count]]/Table1[[#This Row],[total count]]</f>
        <v>0</v>
      </c>
      <c r="BN61" s="2">
        <f>Table1[[#This Row],['[Cells'] c/ml]]*Table1[[#This Row],[abnormal%]]</f>
        <v>0</v>
      </c>
    </row>
    <row r="62" spans="1:66" x14ac:dyDescent="0.25">
      <c r="A62" s="1" t="s">
        <v>104</v>
      </c>
      <c r="B62" s="1" t="s">
        <v>28</v>
      </c>
      <c r="C62" s="1" t="s">
        <v>15</v>
      </c>
      <c r="D62" s="1" t="s">
        <v>25</v>
      </c>
      <c r="E62" s="1">
        <v>8</v>
      </c>
      <c r="F62" s="3" t="s">
        <v>16</v>
      </c>
      <c r="G62" s="1" t="s">
        <v>16</v>
      </c>
      <c r="H62" s="2">
        <v>473000000</v>
      </c>
      <c r="I62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2162</v>
      </c>
      <c r="J62" s="1">
        <v>2066</v>
      </c>
      <c r="K62" s="4">
        <f t="shared" si="5"/>
        <v>0.95692450208429825</v>
      </c>
      <c r="L62" s="2">
        <f>Table1[[#This Row],['[Cells'] c/ml]]*Table1[[#This Row],[Rbc%]]</f>
        <v>452625289.48587304</v>
      </c>
      <c r="M62" s="4">
        <f>SUM(Table1[[#This Row],[Lymoph%]],Table1[[#This Row],[FE%]],Table1[[#This Row],[GT%]],Table1[[#This Row],[CE%]],Table1[[#This Row],[Neutro%]],Table1[[#This Row],[Basophil%]])</f>
        <v>3.0064754856614244E-2</v>
      </c>
      <c r="N62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16.029411764705884</v>
      </c>
      <c r="O62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16.029411764705884</v>
      </c>
      <c r="P62" s="2">
        <f>Table1[[#This Row],['[Cells'] c/ml]]*Table1[[#This Row],[granulocyte%]]</f>
        <v>14220629.047178537</v>
      </c>
      <c r="Q62" s="4">
        <f>SUM(Table1[[#This Row],[Lymoph%]],Table1[[#This Row],[GT%]],Table1[[#This Row],[FE%]],Table1[[#This Row],[CE%]],Table1[[#This Row],[Neutro%]],Table1[[#This Row],[Basophil%]],Table1[[#This Row],[Monocyte%]])</f>
        <v>3.145235892691952E-2</v>
      </c>
      <c r="R62" s="2">
        <f>Table1[[#This Row],['[Cells'] c/ml]]*Table1[[#This Row],[wbc%]]</f>
        <v>14876965.772432933</v>
      </c>
      <c r="S62" s="7">
        <f>Table1[[#This Row],['[wbc']]]/Table1[[#This Row],['[Granulocyte']]]</f>
        <v>1.0461538461538462</v>
      </c>
      <c r="T62" s="7">
        <f>Table1[[#This Row],['[Rbc']]]/Table1[[#This Row],['[wbc']]]</f>
        <v>30.424570198621364</v>
      </c>
      <c r="U62" s="1">
        <v>47</v>
      </c>
      <c r="V62" s="4">
        <f>Table1[[#This Row],[Lympho_count]]/Table1[[#This Row],[total count]]</f>
        <v>2.1739130434782608E-2</v>
      </c>
      <c r="W62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0.69117647058823528</v>
      </c>
      <c r="X62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0.69117647058823528</v>
      </c>
      <c r="Y62" s="2">
        <f>Table1[[#This Row],['[Cells'] c/ml]]*Table1[[#This Row],[Lymoph%]]</f>
        <v>10282608.695652174</v>
      </c>
      <c r="Z62" s="1">
        <v>28</v>
      </c>
      <c r="AA62" s="4">
        <f>Table1[[#This Row],[Thrombo_count]]/Table1[[#This Row],[total count]]</f>
        <v>1.2950971322849213E-2</v>
      </c>
      <c r="AB62" s="2">
        <f>Table1[[#This Row],['[Cells'] c/ml]]*Table1[[#This Row],[Thrombo%]]</f>
        <v>6125809.4357076781</v>
      </c>
      <c r="AC62" s="1">
        <v>0</v>
      </c>
      <c r="AD62" s="4">
        <f>Table1[[#This Row],[GT_count]]/Table1[[#This Row],[total count]]</f>
        <v>0</v>
      </c>
      <c r="AE62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0</v>
      </c>
      <c r="AF62" s="2">
        <f>Table1[[#This Row],['[Cells'] c/ml]]*Table1[[#This Row],[GT%]]</f>
        <v>0</v>
      </c>
      <c r="AG62" s="1">
        <v>8</v>
      </c>
      <c r="AH62" s="4">
        <f>Table1[[#This Row],[FE_count]]/Table1[[#This Row],[total count]]</f>
        <v>3.7002775208140612E-3</v>
      </c>
      <c r="AI62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0.11764705882352941</v>
      </c>
      <c r="AJ62" s="4">
        <f>Table1[[#This Row],[FE_count]]/(Table1[[#This Row],[Lympho_count]]+Table1[[#This Row],[FE_count]]+Table1[[#This Row],[CE_count]]+Table1[[#This Row],[Neutro_count]]+Table1[[#This Row],[Monocyte_count]]+Table1[[#This Row],[Basophil_count]])</f>
        <v>0.11764705882352941</v>
      </c>
      <c r="AK62" s="2">
        <f>Table1[[#This Row],['[Cells'] c/ml]]*Table1[[#This Row],[FE%]]</f>
        <v>1750231.267345051</v>
      </c>
      <c r="AL62" s="1">
        <v>8</v>
      </c>
      <c r="AM62" s="4">
        <f>Table1[[#This Row],[CE_count]]/Table1[[#This Row],[total count]]</f>
        <v>3.7002775208140612E-3</v>
      </c>
      <c r="AN62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0.11764705882352941</v>
      </c>
      <c r="AO62" s="4">
        <f>Table1[[#This Row],[CE_count]]/(Table1[[#This Row],[Lympho_count]]+Table1[[#This Row],[FE_count]]+Table1[[#This Row],[CE_count]]+Table1[[#This Row],[Neutro_count]]+Table1[[#This Row],[Monocyte_count]]+Table1[[#This Row],[Basophil_count]])</f>
        <v>0.11764705882352941</v>
      </c>
      <c r="AP62" s="2">
        <f>Table1[[#This Row],['[Cells'] c/ml]]*Table1[[#This Row],[CE%]]</f>
        <v>1750231.267345051</v>
      </c>
      <c r="AQ62" s="1">
        <v>2</v>
      </c>
      <c r="AR62" s="4">
        <f>Table1[[#This Row],[Neutro_count]]/Table1[[#This Row],[total count]]</f>
        <v>9.2506938020351531E-4</v>
      </c>
      <c r="AS62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2.9411764705882353E-2</v>
      </c>
      <c r="AT62" s="4">
        <f>Table1[[#This Row],[Neutro_count]]/(Table1[[#This Row],[Lympho_count]]+Table1[[#This Row],[FE_count]]+Table1[[#This Row],[CE_count]]+Table1[[#This Row],[Neutro_count]]+Table1[[#This Row],[Monocyte_count]]+Table1[[#This Row],[Basophil_count]])</f>
        <v>2.9411764705882353E-2</v>
      </c>
      <c r="AU62" s="2">
        <f>Table1[[#This Row],['[Cells'] c/ml]]*Table1[[#This Row],[Neutro%]]</f>
        <v>437557.81683626276</v>
      </c>
      <c r="AV62" s="5">
        <v>3</v>
      </c>
      <c r="AW62" s="4">
        <f>Table1[[#This Row],[Monocyte_count]]/Table1[[#This Row],[total count]]</f>
        <v>1.3876040703052729E-3</v>
      </c>
      <c r="AX62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4.4117647058823532E-2</v>
      </c>
      <c r="AY62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4.4117647058823532E-2</v>
      </c>
      <c r="AZ62" s="2">
        <f>Table1[[#This Row],['[Cells'] c/ml]]*Table1[[#This Row],[Monocyte%]]</f>
        <v>656336.72525439411</v>
      </c>
      <c r="BA62" s="1">
        <v>0</v>
      </c>
      <c r="BB62" s="4">
        <f>Table1[[#This Row],[Basophil_count]]/Table1[[#This Row],[total count]]</f>
        <v>0</v>
      </c>
      <c r="BC62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D62" s="4"/>
      <c r="BE62" s="2">
        <f>Table1[[#This Row],['[Cells'] c/ml]]*Table1[[#This Row],[Basophil%]]</f>
        <v>0</v>
      </c>
      <c r="BF62" s="1">
        <v>0</v>
      </c>
      <c r="BG62" s="4">
        <f>Table1[[#This Row],[immature_count]]/Table1[[#This Row],[total count]]</f>
        <v>0</v>
      </c>
      <c r="BH62" s="2">
        <f>Table1[[#This Row],['[Cells'] c/ml]]*Table1[[#This Row],[immature%]]</f>
        <v>0</v>
      </c>
      <c r="BI62" s="1">
        <v>0</v>
      </c>
      <c r="BJ62" s="4">
        <f>Table1[[#This Row],[mitosis_count]]/Table1[[#This Row],[total count]]</f>
        <v>0</v>
      </c>
      <c r="BK62" s="2">
        <f>Table1[[#This Row],['[Cells'] c/ml]]*Table1[[#This Row],[mitosis%]]</f>
        <v>0</v>
      </c>
      <c r="BL62" s="1">
        <v>0</v>
      </c>
      <c r="BM62" s="4">
        <f>Table1[[#This Row],[Abnormal_count]]/Table1[[#This Row],[total count]]</f>
        <v>0</v>
      </c>
      <c r="BN62" s="2">
        <f>Table1[[#This Row],['[Cells'] c/ml]]*Table1[[#This Row],[abnormal%]]</f>
        <v>0</v>
      </c>
    </row>
    <row r="63" spans="1:66" x14ac:dyDescent="0.25">
      <c r="A63" s="1" t="s">
        <v>104</v>
      </c>
      <c r="B63" s="1" t="s">
        <v>29</v>
      </c>
      <c r="C63" s="1" t="s">
        <v>10</v>
      </c>
      <c r="D63" s="1" t="s">
        <v>30</v>
      </c>
      <c r="E63" s="1">
        <v>8</v>
      </c>
      <c r="F63" s="3" t="s">
        <v>20</v>
      </c>
      <c r="G63" s="1">
        <v>0</v>
      </c>
      <c r="H63" s="2">
        <v>494500000</v>
      </c>
      <c r="I63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2164</v>
      </c>
      <c r="J63" s="1">
        <v>2023</v>
      </c>
      <c r="K63" s="4">
        <f t="shared" si="5"/>
        <v>0.93700787401574803</v>
      </c>
      <c r="L63" s="2">
        <f>Table1[[#This Row],['[Cells'] c/ml]]*Table1[[#This Row],[Rbc%]]</f>
        <v>463350393.70078743</v>
      </c>
      <c r="M63" s="4">
        <f>SUM(Table1[[#This Row],[Lymoph%]],Table1[[#This Row],[FE%]],Table1[[#This Row],[GT%]],Table1[[#This Row],[CE%]],Table1[[#This Row],[Neutro%]],Table1[[#This Row],[Basophil%]])</f>
        <v>3.3733826247689461E-2</v>
      </c>
      <c r="N63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23.012820512820515</v>
      </c>
      <c r="O63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23.012820512820515</v>
      </c>
      <c r="P63" s="2">
        <f>Table1[[#This Row],['[Cells'] c/ml]]*Table1[[#This Row],[granulocyte%]]</f>
        <v>16681377.079482438</v>
      </c>
      <c r="Q63" s="4">
        <f>SUM(Table1[[#This Row],[Lymoph%]],Table1[[#This Row],[GT%]],Table1[[#This Row],[FE%]],Table1[[#This Row],[CE%]],Table1[[#This Row],[Neutro%]],Table1[[#This Row],[Basophil%]],Table1[[#This Row],[Monocyte%]])</f>
        <v>3.6044362292051754E-2</v>
      </c>
      <c r="R63" s="2">
        <f>Table1[[#This Row],['[Cells'] c/ml]]*Table1[[#This Row],[wbc%]]</f>
        <v>17823937.153419591</v>
      </c>
      <c r="S63" s="7">
        <f>Table1[[#This Row],['[wbc']]]/Table1[[#This Row],['[Granulocyte']]]</f>
        <v>1.0684931506849316</v>
      </c>
      <c r="T63" s="7">
        <f>Table1[[#This Row],['[Rbc']]]/Table1[[#This Row],['[wbc']]]</f>
        <v>25.995962043206141</v>
      </c>
      <c r="U63" s="1">
        <v>49</v>
      </c>
      <c r="V63" s="4">
        <f>Table1[[#This Row],[Lympho_count]]/Table1[[#This Row],[total count]]</f>
        <v>2.2643253234750461E-2</v>
      </c>
      <c r="W63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0.62820512820512819</v>
      </c>
      <c r="X63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0.62820512820512819</v>
      </c>
      <c r="Y63" s="2">
        <f>Table1[[#This Row],['[Cells'] c/ml]]*Table1[[#This Row],[Lymoph%]]</f>
        <v>11197088.724584103</v>
      </c>
      <c r="Z63" s="1">
        <v>63</v>
      </c>
      <c r="AA63" s="4">
        <f>Table1[[#This Row],[Thrombo_count]]/Table1[[#This Row],[total count]]</f>
        <v>2.9112754158964881E-2</v>
      </c>
      <c r="AB63" s="2">
        <f>Table1[[#This Row],['[Cells'] c/ml]]*Table1[[#This Row],[Thrombo%]]</f>
        <v>14396256.931608133</v>
      </c>
      <c r="AC63" s="1">
        <v>0</v>
      </c>
      <c r="AD63" s="4">
        <f>Table1[[#This Row],[GT_count]]/Table1[[#This Row],[total count]]</f>
        <v>0</v>
      </c>
      <c r="AE63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0</v>
      </c>
      <c r="AF63" s="2">
        <f>Table1[[#This Row],['[Cells'] c/ml]]*Table1[[#This Row],[GT%]]</f>
        <v>0</v>
      </c>
      <c r="AG63" s="1">
        <v>13</v>
      </c>
      <c r="AH63" s="4">
        <f>Table1[[#This Row],[FE_count]]/Table1[[#This Row],[total count]]</f>
        <v>6.007393715341959E-3</v>
      </c>
      <c r="AI63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0.16666666666666666</v>
      </c>
      <c r="AJ63" s="4">
        <f>Table1[[#This Row],[FE_count]]/(Table1[[#This Row],[Lympho_count]]+Table1[[#This Row],[FE_count]]+Table1[[#This Row],[CE_count]]+Table1[[#This Row],[Neutro_count]]+Table1[[#This Row],[Monocyte_count]]+Table1[[#This Row],[Basophil_count]])</f>
        <v>0.16666666666666666</v>
      </c>
      <c r="AK63" s="2">
        <f>Table1[[#This Row],['[Cells'] c/ml]]*Table1[[#This Row],[FE%]]</f>
        <v>2970656.1922365986</v>
      </c>
      <c r="AL63" s="1">
        <v>10</v>
      </c>
      <c r="AM63" s="4">
        <f>Table1[[#This Row],[CE_count]]/Table1[[#This Row],[total count]]</f>
        <v>4.6210720887245845E-3</v>
      </c>
      <c r="AN63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0.12820512820512819</v>
      </c>
      <c r="AO63" s="4">
        <f>Table1[[#This Row],[CE_count]]/(Table1[[#This Row],[Lympho_count]]+Table1[[#This Row],[FE_count]]+Table1[[#This Row],[CE_count]]+Table1[[#This Row],[Neutro_count]]+Table1[[#This Row],[Monocyte_count]]+Table1[[#This Row],[Basophil_count]])</f>
        <v>0.12820512820512819</v>
      </c>
      <c r="AP63" s="2">
        <f>Table1[[#This Row],['[Cells'] c/ml]]*Table1[[#This Row],[CE%]]</f>
        <v>2285120.1478743069</v>
      </c>
      <c r="AQ63" s="1">
        <v>1</v>
      </c>
      <c r="AR63" s="4">
        <f>Table1[[#This Row],[Neutro_count]]/Table1[[#This Row],[total count]]</f>
        <v>4.621072088724584E-4</v>
      </c>
      <c r="AS63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1.282051282051282E-2</v>
      </c>
      <c r="AT63" s="4">
        <f>Table1[[#This Row],[Neutro_count]]/(Table1[[#This Row],[Lympho_count]]+Table1[[#This Row],[FE_count]]+Table1[[#This Row],[CE_count]]+Table1[[#This Row],[Neutro_count]]+Table1[[#This Row],[Monocyte_count]]+Table1[[#This Row],[Basophil_count]])</f>
        <v>1.282051282051282E-2</v>
      </c>
      <c r="AU63" s="2">
        <f>Table1[[#This Row],['[Cells'] c/ml]]*Table1[[#This Row],[Neutro%]]</f>
        <v>228512.01478743067</v>
      </c>
      <c r="AV63" s="5">
        <v>5</v>
      </c>
      <c r="AW63" s="4">
        <f>Table1[[#This Row],[Monocyte_count]]/Table1[[#This Row],[total count]]</f>
        <v>2.3105360443622922E-3</v>
      </c>
      <c r="AX63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6.4102564102564097E-2</v>
      </c>
      <c r="AY63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6.4102564102564097E-2</v>
      </c>
      <c r="AZ63" s="2">
        <f>Table1[[#This Row],['[Cells'] c/ml]]*Table1[[#This Row],[Monocyte%]]</f>
        <v>1142560.0739371534</v>
      </c>
      <c r="BA63" s="1">
        <v>0</v>
      </c>
      <c r="BB63" s="4">
        <f>Table1[[#This Row],[Basophil_count]]/Table1[[#This Row],[total count]]</f>
        <v>0</v>
      </c>
      <c r="BC63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D63" s="4"/>
      <c r="BE63" s="2">
        <f>Table1[[#This Row],['[Cells'] c/ml]]*Table1[[#This Row],[Basophil%]]</f>
        <v>0</v>
      </c>
      <c r="BF63" s="1">
        <v>0</v>
      </c>
      <c r="BG63" s="4">
        <f>Table1[[#This Row],[immature_count]]/Table1[[#This Row],[total count]]</f>
        <v>0</v>
      </c>
      <c r="BH63" s="2">
        <f>Table1[[#This Row],['[Cells'] c/ml]]*Table1[[#This Row],[immature%]]</f>
        <v>0</v>
      </c>
      <c r="BI63" s="1">
        <v>0</v>
      </c>
      <c r="BJ63" s="4">
        <f>Table1[[#This Row],[mitosis_count]]/Table1[[#This Row],[total count]]</f>
        <v>0</v>
      </c>
      <c r="BK63" s="2">
        <f>Table1[[#This Row],['[Cells'] c/ml]]*Table1[[#This Row],[mitosis%]]</f>
        <v>0</v>
      </c>
      <c r="BL63" s="1">
        <v>0</v>
      </c>
      <c r="BM63" s="4">
        <f>Table1[[#This Row],[Abnormal_count]]/Table1[[#This Row],[total count]]</f>
        <v>0</v>
      </c>
      <c r="BN63" s="2">
        <f>Table1[[#This Row],['[Cells'] c/ml]]*Table1[[#This Row],[abnormal%]]</f>
        <v>0</v>
      </c>
    </row>
    <row r="64" spans="1:66" x14ac:dyDescent="0.25">
      <c r="A64" s="1" t="s">
        <v>104</v>
      </c>
      <c r="B64" s="1" t="s">
        <v>31</v>
      </c>
      <c r="C64" s="1" t="s">
        <v>10</v>
      </c>
      <c r="D64" s="1" t="s">
        <v>30</v>
      </c>
      <c r="E64" s="1">
        <v>8</v>
      </c>
      <c r="F64" s="3" t="s">
        <v>20</v>
      </c>
      <c r="G64" s="1">
        <v>0</v>
      </c>
      <c r="H64" s="2">
        <v>712000000</v>
      </c>
      <c r="I64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2154</v>
      </c>
      <c r="J64" s="1">
        <v>2002</v>
      </c>
      <c r="K64" s="4">
        <f t="shared" si="5"/>
        <v>0.9302973977695167</v>
      </c>
      <c r="L64" s="2">
        <f>Table1[[#This Row],['[Cells'] c/ml]]*Table1[[#This Row],[Rbc%]]</f>
        <v>662371747.21189594</v>
      </c>
      <c r="M64" s="4">
        <f>SUM(Table1[[#This Row],[Lymoph%]],Table1[[#This Row],[FE%]],Table1[[#This Row],[GT%]],Table1[[#This Row],[CE%]],Table1[[#This Row],[Neutro%]],Table1[[#This Row],[Basophil%]])</f>
        <v>5.1532033426183836E-2</v>
      </c>
      <c r="N64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17.106194690265486</v>
      </c>
      <c r="O64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11.11214953271028</v>
      </c>
      <c r="P64" s="2">
        <f>Table1[[#This Row],['[Cells'] c/ml]]*Table1[[#This Row],[granulocyte%]]</f>
        <v>36690807.799442895</v>
      </c>
      <c r="Q64" s="4">
        <f>SUM(Table1[[#This Row],[Lymoph%]],Table1[[#This Row],[GT%]],Table1[[#This Row],[FE%]],Table1[[#This Row],[CE%]],Table1[[#This Row],[Neutro%]],Table1[[#This Row],[Basophil%]],Table1[[#This Row],[Monocyte%]])</f>
        <v>5.2460538532961926E-2</v>
      </c>
      <c r="R64" s="2">
        <f>Table1[[#This Row],['[Cells'] c/ml]]*Table1[[#This Row],[wbc%]]</f>
        <v>37351903.43546889</v>
      </c>
      <c r="S64" s="7">
        <f>Table1[[#This Row],['[wbc']]]/Table1[[#This Row],['[Granulocyte']]]</f>
        <v>1.0180180180180178</v>
      </c>
      <c r="T64" s="7">
        <f>Table1[[#This Row],['[Rbc']]]/Table1[[#This Row],['[wbc']]]</f>
        <v>17.733279599960525</v>
      </c>
      <c r="U64" s="1">
        <v>80</v>
      </c>
      <c r="V64" s="4">
        <f>Table1[[#This Row],[Lympho_count]]/Table1[[#This Row],[total count]]</f>
        <v>3.7140204271123488E-2</v>
      </c>
      <c r="W64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0.70796460176991149</v>
      </c>
      <c r="X64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0.74766355140186913</v>
      </c>
      <c r="Y64" s="2">
        <f>Table1[[#This Row],['[Cells'] c/ml]]*Table1[[#This Row],[Lymoph%]]</f>
        <v>26443825.441039924</v>
      </c>
      <c r="Z64" s="1">
        <v>39</v>
      </c>
      <c r="AA64" s="4">
        <f>Table1[[#This Row],[Thrombo_count]]/Table1[[#This Row],[total count]]</f>
        <v>1.8105849582172703E-2</v>
      </c>
      <c r="AB64" s="2">
        <f>Table1[[#This Row],['[Cells'] c/ml]]*Table1[[#This Row],[Thrombo%]]</f>
        <v>12891364.902506964</v>
      </c>
      <c r="AC64" s="1">
        <v>6</v>
      </c>
      <c r="AD64" s="4">
        <f>Table1[[#This Row],[GT_count]]/Table1[[#This Row],[total count]]</f>
        <v>2.7855153203342618E-3</v>
      </c>
      <c r="AE64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5.3097345132743362E-2</v>
      </c>
      <c r="AF64" s="2">
        <f>Table1[[#This Row],['[Cells'] c/ml]]*Table1[[#This Row],[GT%]]</f>
        <v>1983286.9080779944</v>
      </c>
      <c r="AG64" s="1">
        <v>4</v>
      </c>
      <c r="AH64" s="4">
        <f>Table1[[#This Row],[FE_count]]/Table1[[#This Row],[total count]]</f>
        <v>1.8570102135561746E-3</v>
      </c>
      <c r="AI64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3.5398230088495575E-2</v>
      </c>
      <c r="AJ64" s="4">
        <f>Table1[[#This Row],[FE_count]]/(Table1[[#This Row],[Lympho_count]]+Table1[[#This Row],[FE_count]]+Table1[[#This Row],[CE_count]]+Table1[[#This Row],[Neutro_count]]+Table1[[#This Row],[Monocyte_count]]+Table1[[#This Row],[Basophil_count]])</f>
        <v>3.7383177570093455E-2</v>
      </c>
      <c r="AK64" s="2">
        <f>Table1[[#This Row],['[Cells'] c/ml]]*Table1[[#This Row],[FE%]]</f>
        <v>1322191.2720519963</v>
      </c>
      <c r="AL64" s="1">
        <v>7</v>
      </c>
      <c r="AM64" s="4">
        <f>Table1[[#This Row],[CE_count]]/Table1[[#This Row],[total count]]</f>
        <v>3.2497678737233053E-3</v>
      </c>
      <c r="AN64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6.1946902654867256E-2</v>
      </c>
      <c r="AO64" s="4">
        <f>Table1[[#This Row],[CE_count]]/(Table1[[#This Row],[Lympho_count]]+Table1[[#This Row],[FE_count]]+Table1[[#This Row],[CE_count]]+Table1[[#This Row],[Neutro_count]]+Table1[[#This Row],[Monocyte_count]]+Table1[[#This Row],[Basophil_count]])</f>
        <v>6.5420560747663545E-2</v>
      </c>
      <c r="AP64" s="2">
        <f>Table1[[#This Row],['[Cells'] c/ml]]*Table1[[#This Row],[CE%]]</f>
        <v>2313834.7260909933</v>
      </c>
      <c r="AQ64" s="1">
        <v>12</v>
      </c>
      <c r="AR64" s="4">
        <f>Table1[[#This Row],[Neutro_count]]/Table1[[#This Row],[total count]]</f>
        <v>5.5710306406685237E-3</v>
      </c>
      <c r="AS64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0.10619469026548672</v>
      </c>
      <c r="AT64" s="4">
        <f>Table1[[#This Row],[Neutro_count]]/(Table1[[#This Row],[Lympho_count]]+Table1[[#This Row],[FE_count]]+Table1[[#This Row],[CE_count]]+Table1[[#This Row],[Neutro_count]]+Table1[[#This Row],[Monocyte_count]]+Table1[[#This Row],[Basophil_count]])</f>
        <v>0.11214953271028037</v>
      </c>
      <c r="AU64" s="2">
        <f>Table1[[#This Row],['[Cells'] c/ml]]*Table1[[#This Row],[Neutro%]]</f>
        <v>3966573.8161559887</v>
      </c>
      <c r="AV64" s="5">
        <v>2</v>
      </c>
      <c r="AW64" s="4">
        <f>Table1[[#This Row],[Monocyte_count]]/Table1[[#This Row],[total count]]</f>
        <v>9.2850510677808728E-4</v>
      </c>
      <c r="AX64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1.7699115044247787E-2</v>
      </c>
      <c r="AY64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1.8691588785046728E-2</v>
      </c>
      <c r="AZ64" s="2">
        <f>Table1[[#This Row],['[Cells'] c/ml]]*Table1[[#This Row],[Monocyte%]]</f>
        <v>661095.63602599816</v>
      </c>
      <c r="BA64" s="1">
        <v>2</v>
      </c>
      <c r="BB64" s="4">
        <f>Table1[[#This Row],[Basophil_count]]/Table1[[#This Row],[total count]]</f>
        <v>9.2850510677808728E-4</v>
      </c>
      <c r="BC64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1.8691588785046728E-2</v>
      </c>
      <c r="BD64" s="4"/>
      <c r="BE64" s="2">
        <f>Table1[[#This Row],['[Cells'] c/ml]]*Table1[[#This Row],[Basophil%]]</f>
        <v>661095.63602599816</v>
      </c>
      <c r="BF64" s="1">
        <v>0</v>
      </c>
      <c r="BG64" s="4">
        <f>Table1[[#This Row],[immature_count]]/Table1[[#This Row],[total count]]</f>
        <v>0</v>
      </c>
      <c r="BH64" s="2">
        <f>Table1[[#This Row],['[Cells'] c/ml]]*Table1[[#This Row],[immature%]]</f>
        <v>0</v>
      </c>
      <c r="BI64" s="1">
        <v>0</v>
      </c>
      <c r="BJ64" s="4">
        <f>Table1[[#This Row],[mitosis_count]]/Table1[[#This Row],[total count]]</f>
        <v>0</v>
      </c>
      <c r="BK64" s="2">
        <f>Table1[[#This Row],['[Cells'] c/ml]]*Table1[[#This Row],[mitosis%]]</f>
        <v>0</v>
      </c>
      <c r="BL64" s="1">
        <v>0</v>
      </c>
      <c r="BM64" s="4">
        <f>Table1[[#This Row],[Abnormal_count]]/Table1[[#This Row],[total count]]</f>
        <v>0</v>
      </c>
      <c r="BN64" s="2">
        <f>Table1[[#This Row],['[Cells'] c/ml]]*Table1[[#This Row],[abnormal%]]</f>
        <v>0</v>
      </c>
    </row>
    <row r="65" spans="1:66" x14ac:dyDescent="0.25">
      <c r="A65" s="1" t="s">
        <v>104</v>
      </c>
      <c r="B65" s="1" t="s">
        <v>32</v>
      </c>
      <c r="C65" s="1" t="s">
        <v>33</v>
      </c>
      <c r="D65" s="1" t="s">
        <v>30</v>
      </c>
      <c r="E65" s="1">
        <v>8</v>
      </c>
      <c r="F65" s="3" t="s">
        <v>16</v>
      </c>
      <c r="G65" s="1" t="s">
        <v>16</v>
      </c>
      <c r="H65" s="2">
        <v>425500000</v>
      </c>
      <c r="I65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2131</v>
      </c>
      <c r="J65" s="1">
        <v>2019</v>
      </c>
      <c r="K65" s="4">
        <f t="shared" si="5"/>
        <v>0.95011764705882351</v>
      </c>
      <c r="L65" s="2">
        <f>Table1[[#This Row],['[Cells'] c/ml]]*Table1[[#This Row],[Rbc%]]</f>
        <v>404275058.82352942</v>
      </c>
      <c r="M65" s="4">
        <f>SUM(Table1[[#This Row],[Lymoph%]],Table1[[#This Row],[FE%]],Table1[[#This Row],[GT%]],Table1[[#This Row],[CE%]],Table1[[#This Row],[Neutro%]],Table1[[#This Row],[Basophil%]])</f>
        <v>3.3786954481464106E-2</v>
      </c>
      <c r="N65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25.025641025641026</v>
      </c>
      <c r="O65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16.028985507246375</v>
      </c>
      <c r="P65" s="2">
        <f>Table1[[#This Row],['[Cells'] c/ml]]*Table1[[#This Row],[granulocyte%]]</f>
        <v>14376349.131862978</v>
      </c>
      <c r="Q65" s="4">
        <f>SUM(Table1[[#This Row],[Lymoph%]],Table1[[#This Row],[GT%]],Table1[[#This Row],[FE%]],Table1[[#This Row],[CE%]],Table1[[#This Row],[Neutro%]],Table1[[#This Row],[Basophil%]],Table1[[#This Row],[Monocyte%]])</f>
        <v>3.6602534021586114E-2</v>
      </c>
      <c r="R65" s="2">
        <f>Table1[[#This Row],['[Cells'] c/ml]]*Table1[[#This Row],[wbc%]]</f>
        <v>15574378.226184892</v>
      </c>
      <c r="S65" s="7">
        <f>Table1[[#This Row],['[wbc']]]/Table1[[#This Row],['[Granulocyte']]]</f>
        <v>1.0833333333333333</v>
      </c>
      <c r="T65" s="7">
        <f>Table1[[#This Row],['[Rbc']]]/Table1[[#This Row],['[wbc']]]</f>
        <v>25.95770135746606</v>
      </c>
      <c r="U65" s="1">
        <v>45</v>
      </c>
      <c r="V65" s="4">
        <f>Table1[[#This Row],[Lympho_count]]/Table1[[#This Row],[total count]]</f>
        <v>2.1116846550915062E-2</v>
      </c>
      <c r="W65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0.57692307692307687</v>
      </c>
      <c r="X65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0.65217391304347827</v>
      </c>
      <c r="Y65" s="2">
        <f>Table1[[#This Row],['[Cells'] c/ml]]*Table1[[#This Row],[Lymoph%]]</f>
        <v>8985218.2074143589</v>
      </c>
      <c r="Z65" s="1">
        <v>33</v>
      </c>
      <c r="AA65" s="4">
        <f>Table1[[#This Row],[Thrombo_count]]/Table1[[#This Row],[total count]]</f>
        <v>1.5485687470671047E-2</v>
      </c>
      <c r="AB65" s="2">
        <f>Table1[[#This Row],['[Cells'] c/ml]]*Table1[[#This Row],[Thrombo%]]</f>
        <v>6589160.0187705308</v>
      </c>
      <c r="AC65" s="1">
        <v>9</v>
      </c>
      <c r="AD65" s="4">
        <f>Table1[[#This Row],[GT_count]]/Table1[[#This Row],[total count]]</f>
        <v>4.2233693101830123E-3</v>
      </c>
      <c r="AE65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0.11538461538461539</v>
      </c>
      <c r="AF65" s="2">
        <f>Table1[[#This Row],['[Cells'] c/ml]]*Table1[[#This Row],[GT%]]</f>
        <v>1797043.6414828717</v>
      </c>
      <c r="AG65" s="1">
        <v>10</v>
      </c>
      <c r="AH65" s="4">
        <f>Table1[[#This Row],[FE_count]]/Table1[[#This Row],[total count]]</f>
        <v>4.692632566870014E-3</v>
      </c>
      <c r="AI65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0.12820512820512819</v>
      </c>
      <c r="AJ65" s="4">
        <f>Table1[[#This Row],[FE_count]]/(Table1[[#This Row],[Lympho_count]]+Table1[[#This Row],[FE_count]]+Table1[[#This Row],[CE_count]]+Table1[[#This Row],[Neutro_count]]+Table1[[#This Row],[Monocyte_count]]+Table1[[#This Row],[Basophil_count]])</f>
        <v>0.14492753623188406</v>
      </c>
      <c r="AK65" s="2">
        <f>Table1[[#This Row],['[Cells'] c/ml]]*Table1[[#This Row],[FE%]]</f>
        <v>1996715.157203191</v>
      </c>
      <c r="AL65" s="1">
        <v>6</v>
      </c>
      <c r="AM65" s="4">
        <f>Table1[[#This Row],[CE_count]]/Table1[[#This Row],[total count]]</f>
        <v>2.8155795401220087E-3</v>
      </c>
      <c r="AN65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7.6923076923076927E-2</v>
      </c>
      <c r="AO65" s="4">
        <f>Table1[[#This Row],[CE_count]]/(Table1[[#This Row],[Lympho_count]]+Table1[[#This Row],[FE_count]]+Table1[[#This Row],[CE_count]]+Table1[[#This Row],[Neutro_count]]+Table1[[#This Row],[Monocyte_count]]+Table1[[#This Row],[Basophil_count]])</f>
        <v>8.6956521739130432E-2</v>
      </c>
      <c r="AP65" s="2">
        <f>Table1[[#This Row],['[Cells'] c/ml]]*Table1[[#This Row],[CE%]]</f>
        <v>1198029.0943219147</v>
      </c>
      <c r="AQ65" s="1">
        <v>2</v>
      </c>
      <c r="AR65" s="4">
        <f>Table1[[#This Row],[Neutro_count]]/Table1[[#This Row],[total count]]</f>
        <v>9.3852651337400278E-4</v>
      </c>
      <c r="AS65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2.564102564102564E-2</v>
      </c>
      <c r="AT65" s="4">
        <f>Table1[[#This Row],[Neutro_count]]/(Table1[[#This Row],[Lympho_count]]+Table1[[#This Row],[FE_count]]+Table1[[#This Row],[CE_count]]+Table1[[#This Row],[Neutro_count]]+Table1[[#This Row],[Monocyte_count]]+Table1[[#This Row],[Basophil_count]])</f>
        <v>2.8985507246376812E-2</v>
      </c>
      <c r="AU65" s="2">
        <f>Table1[[#This Row],['[Cells'] c/ml]]*Table1[[#This Row],[Neutro%]]</f>
        <v>399343.03144063818</v>
      </c>
      <c r="AV65" s="5">
        <v>6</v>
      </c>
      <c r="AW65" s="4">
        <f>Table1[[#This Row],[Monocyte_count]]/Table1[[#This Row],[total count]]</f>
        <v>2.8155795401220087E-3</v>
      </c>
      <c r="AX65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7.6923076923076927E-2</v>
      </c>
      <c r="AY65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8.6956521739130432E-2</v>
      </c>
      <c r="AZ65" s="2">
        <f>Table1[[#This Row],['[Cells'] c/ml]]*Table1[[#This Row],[Monocyte%]]</f>
        <v>1198029.0943219147</v>
      </c>
      <c r="BA65" s="1">
        <v>0</v>
      </c>
      <c r="BB65" s="4">
        <f>Table1[[#This Row],[Basophil_count]]/Table1[[#This Row],[total count]]</f>
        <v>0</v>
      </c>
      <c r="BC65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D65" s="4"/>
      <c r="BE65" s="2">
        <f>Table1[[#This Row],['[Cells'] c/ml]]*Table1[[#This Row],[Basophil%]]</f>
        <v>0</v>
      </c>
      <c r="BF65" s="1">
        <v>1</v>
      </c>
      <c r="BG65" s="4">
        <f>Table1[[#This Row],[immature_count]]/Table1[[#This Row],[total count]]</f>
        <v>4.6926325668700139E-4</v>
      </c>
      <c r="BH65" s="2">
        <f>Table1[[#This Row],['[Cells'] c/ml]]*Table1[[#This Row],[immature%]]</f>
        <v>199671.51572031909</v>
      </c>
      <c r="BI65" s="1">
        <v>0</v>
      </c>
      <c r="BJ65" s="4">
        <f>Table1[[#This Row],[mitosis_count]]/Table1[[#This Row],[total count]]</f>
        <v>0</v>
      </c>
      <c r="BK65" s="2">
        <f>Table1[[#This Row],['[Cells'] c/ml]]*Table1[[#This Row],[mitosis%]]</f>
        <v>0</v>
      </c>
      <c r="BL65" s="1">
        <v>0</v>
      </c>
      <c r="BM65" s="4">
        <f>Table1[[#This Row],[Abnormal_count]]/Table1[[#This Row],[total count]]</f>
        <v>0</v>
      </c>
      <c r="BN65" s="2">
        <f>Table1[[#This Row],['[Cells'] c/ml]]*Table1[[#This Row],[abnormal%]]</f>
        <v>0</v>
      </c>
    </row>
    <row r="66" spans="1:66" x14ac:dyDescent="0.25">
      <c r="A66" s="1" t="s">
        <v>104</v>
      </c>
      <c r="B66" s="1" t="s">
        <v>34</v>
      </c>
      <c r="C66" s="1" t="s">
        <v>15</v>
      </c>
      <c r="D66" s="1" t="s">
        <v>30</v>
      </c>
      <c r="E66" s="1">
        <v>8</v>
      </c>
      <c r="F66" s="3" t="s">
        <v>16</v>
      </c>
      <c r="G66" s="1" t="s">
        <v>16</v>
      </c>
      <c r="H66" s="2">
        <v>418000000</v>
      </c>
      <c r="I66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2199</v>
      </c>
      <c r="J66" s="1">
        <v>2047</v>
      </c>
      <c r="K66" s="4">
        <f t="shared" si="5"/>
        <v>0.93470319634703192</v>
      </c>
      <c r="L66" s="2">
        <f>Table1[[#This Row],['[Cells'] c/ml]]*Table1[[#This Row],[Rbc%]]</f>
        <v>390705936.07305932</v>
      </c>
      <c r="M66" s="4">
        <f>SUM(Table1[[#This Row],[Lymoph%]],Table1[[#This Row],[FE%]],Table1[[#This Row],[GT%]],Table1[[#This Row],[CE%]],Table1[[#This Row],[Neutro%]],Table1[[#This Row],[Basophil%]])</f>
        <v>3.8199181446111868E-2</v>
      </c>
      <c r="N66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29.021739130434781</v>
      </c>
      <c r="O66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22.023529411764706</v>
      </c>
      <c r="P66" s="2">
        <f>Table1[[#This Row],['[Cells'] c/ml]]*Table1[[#This Row],[granulocyte%]]</f>
        <v>15967257.844474761</v>
      </c>
      <c r="Q66" s="4">
        <f>SUM(Table1[[#This Row],[Lymoph%]],Table1[[#This Row],[GT%]],Table1[[#This Row],[FE%]],Table1[[#This Row],[CE%]],Table1[[#This Row],[Neutro%]],Table1[[#This Row],[Basophil%]],Table1[[#This Row],[Monocyte%]])</f>
        <v>4.1837198726693954E-2</v>
      </c>
      <c r="R66" s="2">
        <f>Table1[[#This Row],['[Cells'] c/ml]]*Table1[[#This Row],[wbc%]]</f>
        <v>17487949.067758072</v>
      </c>
      <c r="S66" s="7">
        <f>Table1[[#This Row],['[wbc']]]/Table1[[#This Row],['[Granulocyte']]]</f>
        <v>1.0952380952380953</v>
      </c>
      <c r="T66" s="7">
        <f>Table1[[#This Row],['[Rbc']]]/Table1[[#This Row],['[wbc']]]</f>
        <v>22.341438356164382</v>
      </c>
      <c r="U66" s="1">
        <v>53</v>
      </c>
      <c r="V66" s="4">
        <f>Table1[[#This Row],[Lympho_count]]/Table1[[#This Row],[total count]]</f>
        <v>2.4101864483856299E-2</v>
      </c>
      <c r="W66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0.57608695652173914</v>
      </c>
      <c r="X66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0.62352941176470589</v>
      </c>
      <c r="Y66" s="2">
        <f>Table1[[#This Row],['[Cells'] c/ml]]*Table1[[#This Row],[Lymoph%]]</f>
        <v>10074579.354251932</v>
      </c>
      <c r="Z66" s="1">
        <v>59</v>
      </c>
      <c r="AA66" s="4">
        <f>Table1[[#This Row],[Thrombo_count]]/Table1[[#This Row],[total count]]</f>
        <v>2.6830377444292862E-2</v>
      </c>
      <c r="AB66" s="2">
        <f>Table1[[#This Row],['[Cells'] c/ml]]*Table1[[#This Row],[Thrombo%]]</f>
        <v>11215097.771714415</v>
      </c>
      <c r="AC66" s="1">
        <v>7</v>
      </c>
      <c r="AD66" s="4">
        <f>Table1[[#This Row],[GT_count]]/Table1[[#This Row],[total count]]</f>
        <v>3.1832651205093224E-3</v>
      </c>
      <c r="AE66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7.6086956521739135E-2</v>
      </c>
      <c r="AF66" s="2">
        <f>Table1[[#This Row],['[Cells'] c/ml]]*Table1[[#This Row],[GT%]]</f>
        <v>1330604.8203728967</v>
      </c>
      <c r="AG66" s="1">
        <v>2</v>
      </c>
      <c r="AH66" s="4">
        <f>Table1[[#This Row],[FE_count]]/Table1[[#This Row],[total count]]</f>
        <v>9.0950432014552066E-4</v>
      </c>
      <c r="AI66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2.1739130434782608E-2</v>
      </c>
      <c r="AJ66" s="4">
        <f>Table1[[#This Row],[FE_count]]/(Table1[[#This Row],[Lympho_count]]+Table1[[#This Row],[FE_count]]+Table1[[#This Row],[CE_count]]+Table1[[#This Row],[Neutro_count]]+Table1[[#This Row],[Monocyte_count]]+Table1[[#This Row],[Basophil_count]])</f>
        <v>2.3529411764705882E-2</v>
      </c>
      <c r="AK66" s="2">
        <f>Table1[[#This Row],['[Cells'] c/ml]]*Table1[[#This Row],[FE%]]</f>
        <v>380172.80582082766</v>
      </c>
      <c r="AL66" s="1">
        <v>20</v>
      </c>
      <c r="AM66" s="4">
        <f>Table1[[#This Row],[CE_count]]/Table1[[#This Row],[total count]]</f>
        <v>9.0950432014552073E-3</v>
      </c>
      <c r="AN66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0.21739130434782608</v>
      </c>
      <c r="AO66" s="4">
        <f>Table1[[#This Row],[CE_count]]/(Table1[[#This Row],[Lympho_count]]+Table1[[#This Row],[FE_count]]+Table1[[#This Row],[CE_count]]+Table1[[#This Row],[Neutro_count]]+Table1[[#This Row],[Monocyte_count]]+Table1[[#This Row],[Basophil_count]])</f>
        <v>0.23529411764705882</v>
      </c>
      <c r="AP66" s="2">
        <f>Table1[[#This Row],['[Cells'] c/ml]]*Table1[[#This Row],[CE%]]</f>
        <v>3801728.0582082765</v>
      </c>
      <c r="AQ66" s="1">
        <v>2</v>
      </c>
      <c r="AR66" s="4">
        <f>Table1[[#This Row],[Neutro_count]]/Table1[[#This Row],[total count]]</f>
        <v>9.0950432014552066E-4</v>
      </c>
      <c r="AS66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2.1739130434782608E-2</v>
      </c>
      <c r="AT66" s="4">
        <f>Table1[[#This Row],[Neutro_count]]/(Table1[[#This Row],[Lympho_count]]+Table1[[#This Row],[FE_count]]+Table1[[#This Row],[CE_count]]+Table1[[#This Row],[Neutro_count]]+Table1[[#This Row],[Monocyte_count]]+Table1[[#This Row],[Basophil_count]])</f>
        <v>2.3529411764705882E-2</v>
      </c>
      <c r="AU66" s="2">
        <f>Table1[[#This Row],['[Cells'] c/ml]]*Table1[[#This Row],[Neutro%]]</f>
        <v>380172.80582082766</v>
      </c>
      <c r="AV66" s="5">
        <v>8</v>
      </c>
      <c r="AW66" s="4">
        <f>Table1[[#This Row],[Monocyte_count]]/Table1[[#This Row],[total count]]</f>
        <v>3.6380172805820826E-3</v>
      </c>
      <c r="AX66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8.6956521739130432E-2</v>
      </c>
      <c r="AY66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9.4117647058823528E-2</v>
      </c>
      <c r="AZ66" s="2">
        <f>Table1[[#This Row],['[Cells'] c/ml]]*Table1[[#This Row],[Monocyte%]]</f>
        <v>1520691.2232833107</v>
      </c>
      <c r="BA66" s="1">
        <v>0</v>
      </c>
      <c r="BB66" s="4">
        <f>Table1[[#This Row],[Basophil_count]]/Table1[[#This Row],[total count]]</f>
        <v>0</v>
      </c>
      <c r="BC66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D66" s="4"/>
      <c r="BE66" s="2">
        <f>Table1[[#This Row],['[Cells'] c/ml]]*Table1[[#This Row],[Basophil%]]</f>
        <v>0</v>
      </c>
      <c r="BF66" s="1">
        <v>0</v>
      </c>
      <c r="BG66" s="4">
        <f>Table1[[#This Row],[immature_count]]/Table1[[#This Row],[total count]]</f>
        <v>0</v>
      </c>
      <c r="BH66" s="2">
        <f>Table1[[#This Row],['[Cells'] c/ml]]*Table1[[#This Row],[immature%]]</f>
        <v>0</v>
      </c>
      <c r="BI66" s="1">
        <v>0</v>
      </c>
      <c r="BJ66" s="4">
        <f>Table1[[#This Row],[mitosis_count]]/Table1[[#This Row],[total count]]</f>
        <v>0</v>
      </c>
      <c r="BK66" s="2">
        <f>Table1[[#This Row],['[Cells'] c/ml]]*Table1[[#This Row],[mitosis%]]</f>
        <v>0</v>
      </c>
      <c r="BL66" s="1">
        <v>1</v>
      </c>
      <c r="BM66" s="4">
        <f>Table1[[#This Row],[Abnormal_count]]/Table1[[#This Row],[total count]]</f>
        <v>4.5475216007276033E-4</v>
      </c>
      <c r="BN66" s="2">
        <f>Table1[[#This Row],['[Cells'] c/ml]]*Table1[[#This Row],[abnormal%]]</f>
        <v>190086.40291041383</v>
      </c>
    </row>
    <row r="67" spans="1:66" x14ac:dyDescent="0.25">
      <c r="H67" s="2"/>
      <c r="K67" s="4"/>
      <c r="L67" s="2"/>
      <c r="M67" s="4"/>
      <c r="O67" s="7"/>
      <c r="P67" s="2"/>
      <c r="R67" s="2"/>
      <c r="V67" s="4"/>
      <c r="W67" s="4"/>
      <c r="X67" s="4"/>
      <c r="Y67" s="2"/>
      <c r="AA67" s="4"/>
      <c r="AB67" s="2"/>
      <c r="AD67" s="4"/>
      <c r="AE67" s="4"/>
      <c r="AF67" s="2"/>
      <c r="AH67" s="4"/>
      <c r="AI67" s="4"/>
      <c r="AJ67" s="4"/>
      <c r="AK67" s="2"/>
      <c r="AM67" s="4"/>
      <c r="AN67" s="4"/>
      <c r="AO67" s="4"/>
      <c r="AP67" s="2"/>
      <c r="AR67" s="4"/>
      <c r="AS67" s="4"/>
      <c r="AT67" s="4"/>
      <c r="AU67" s="2"/>
      <c r="AV67" s="5"/>
      <c r="AW67" s="4"/>
      <c r="AX67" s="4"/>
      <c r="AY67" s="4"/>
      <c r="AZ67" s="2"/>
      <c r="BA67" s="1"/>
      <c r="BB67" s="4"/>
      <c r="BC67" s="4"/>
      <c r="BD67" s="4"/>
      <c r="BE67" s="2"/>
      <c r="BF67" s="1"/>
      <c r="BG67" s="4"/>
      <c r="BH67" s="2"/>
      <c r="BI67" s="1"/>
      <c r="BJ67" s="4"/>
      <c r="BK67" s="2"/>
      <c r="BM67" s="4"/>
      <c r="BN67" s="2"/>
    </row>
    <row r="68" spans="1:66" x14ac:dyDescent="0.25">
      <c r="A68" s="1" t="s">
        <v>35</v>
      </c>
      <c r="B68" s="1" t="s">
        <v>38</v>
      </c>
      <c r="C68" s="1" t="s">
        <v>10</v>
      </c>
      <c r="D68" s="1" t="s">
        <v>37</v>
      </c>
      <c r="E68" s="1">
        <v>8</v>
      </c>
      <c r="F68" s="3" t="s">
        <v>20</v>
      </c>
      <c r="G68" s="1">
        <v>0</v>
      </c>
      <c r="H68" s="2">
        <v>701000000</v>
      </c>
      <c r="I68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2276</v>
      </c>
      <c r="J68" s="1">
        <v>2139</v>
      </c>
      <c r="K68" s="4">
        <f>J68/SUM(J68+U68,Z68,AC68,AG68,AL68,AQ68,BA68,BF68,BI68)</f>
        <v>0.94063324538258575</v>
      </c>
      <c r="L68" s="2">
        <f>Table1[[#This Row],['[Cells'] c/ml]]*Table1[[#This Row],[Rbc%]]</f>
        <v>659383905.01319265</v>
      </c>
      <c r="M68" s="4">
        <f>SUM(Table1[[#This Row],[Lymoph%]],Table1[[#This Row],[FE%]],Table1[[#This Row],[GT%]],Table1[[#This Row],[CE%]],Table1[[#This Row],[Neutro%]],Table1[[#This Row],[Basophil%]])</f>
        <v>3.2952548330404216E-2</v>
      </c>
      <c r="N68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26.118421052631579</v>
      </c>
      <c r="O68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4.166666666666667</v>
      </c>
      <c r="P68" s="2">
        <f>Table1[[#This Row],['[Cells'] c/ml]]*Table1[[#This Row],[granulocyte%]]</f>
        <v>23099736.379613355</v>
      </c>
      <c r="Q68" s="4">
        <f>SUM(Table1[[#This Row],[Lymoph%]],Table1[[#This Row],[GT%]],Table1[[#This Row],[FE%]],Table1[[#This Row],[CE%]],Table1[[#This Row],[Neutro%]],Table1[[#This Row],[Basophil%]],Table1[[#This Row],[Monocyte%]])</f>
        <v>3.3391915641476269E-2</v>
      </c>
      <c r="R68" s="2">
        <f>Table1[[#This Row],['[Cells'] c/ml]]*Table1[[#This Row],[wbc%]]</f>
        <v>23407732.864674866</v>
      </c>
      <c r="S68" s="7">
        <f>Table1[[#This Row],['[wbc']]]/Table1[[#This Row],['[Granulocyte']]]</f>
        <v>1.0133333333333334</v>
      </c>
      <c r="T68" s="7">
        <f>Table1[[#This Row],['[Rbc']]]/Table1[[#This Row],['[wbc']]]</f>
        <v>28.169490348562704</v>
      </c>
      <c r="U68" s="1">
        <v>39</v>
      </c>
      <c r="V68" s="4">
        <f>Table1[[#This Row],[Lympho_count]]/Table1[[#This Row],[total count]]</f>
        <v>1.7135325131810195E-2</v>
      </c>
      <c r="W68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0.51315789473684215</v>
      </c>
      <c r="X68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0.72222222222222221</v>
      </c>
      <c r="Y68" s="2">
        <f>Table1[[#This Row],['[Cells'] c/ml]]*Table1[[#This Row],[Lymoph%]]</f>
        <v>12011862.917398946</v>
      </c>
      <c r="Z68" s="1">
        <v>60</v>
      </c>
      <c r="AA68" s="4">
        <f>Table1[[#This Row],[Thrombo_count]]/Table1[[#This Row],[total count]]</f>
        <v>2.6362038664323375E-2</v>
      </c>
      <c r="AB68" s="2">
        <f>Table1[[#This Row],['[Cells'] c/ml]]*Table1[[#This Row],[Thrombo%]]</f>
        <v>18479789.103690688</v>
      </c>
      <c r="AC68" s="1">
        <v>22</v>
      </c>
      <c r="AD68" s="4">
        <f>Table1[[#This Row],[GT_count]]/Table1[[#This Row],[total count]]</f>
        <v>9.6660808435852369E-3</v>
      </c>
      <c r="AE68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0.28947368421052633</v>
      </c>
      <c r="AF68" s="2">
        <f>Table1[[#This Row],['[Cells'] c/ml]]*Table1[[#This Row],[GT%]]</f>
        <v>6775922.6713532507</v>
      </c>
      <c r="AG68" s="1">
        <v>4</v>
      </c>
      <c r="AH68" s="4">
        <f>Table1[[#This Row],[FE_count]]/Table1[[#This Row],[total count]]</f>
        <v>1.7574692442882249E-3</v>
      </c>
      <c r="AI68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5.2631578947368418E-2</v>
      </c>
      <c r="AJ68" s="4">
        <f>Table1[[#This Row],[FE_count]]/(Table1[[#This Row],[Lympho_count]]+Table1[[#This Row],[FE_count]]+Table1[[#This Row],[CE_count]]+Table1[[#This Row],[Neutro_count]]+Table1[[#This Row],[Monocyte_count]]+Table1[[#This Row],[Basophil_count]])</f>
        <v>7.407407407407407E-2</v>
      </c>
      <c r="AK68" s="2">
        <f>Table1[[#This Row],['[Cells'] c/ml]]*Table1[[#This Row],[FE%]]</f>
        <v>1231985.9402460456</v>
      </c>
      <c r="AL68" s="1">
        <v>0</v>
      </c>
      <c r="AM68" s="4">
        <f>Table1[[#This Row],[CE_count]]/Table1[[#This Row],[total count]]</f>
        <v>0</v>
      </c>
      <c r="AN68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</v>
      </c>
      <c r="AO68" s="4">
        <f>Table1[[#This Row],[CE_count]]/(Table1[[#This Row],[Lympho_count]]+Table1[[#This Row],[FE_count]]+Table1[[#This Row],[CE_count]]+Table1[[#This Row],[Neutro_count]]+Table1[[#This Row],[Monocyte_count]]+Table1[[#This Row],[Basophil_count]])</f>
        <v>0</v>
      </c>
      <c r="AP68" s="2">
        <f>Table1[[#This Row],['[Cells'] c/ml]]*Table1[[#This Row],[CE%]]</f>
        <v>0</v>
      </c>
      <c r="AQ68" s="1">
        <v>9</v>
      </c>
      <c r="AR68" s="4">
        <f>Table1[[#This Row],[Neutro_count]]/Table1[[#This Row],[total count]]</f>
        <v>3.9543057996485062E-3</v>
      </c>
      <c r="AS68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0.11842105263157894</v>
      </c>
      <c r="AT68" s="4">
        <f>Table1[[#This Row],[Neutro_count]]/(Table1[[#This Row],[Lympho_count]]+Table1[[#This Row],[FE_count]]+Table1[[#This Row],[CE_count]]+Table1[[#This Row],[Neutro_count]]+Table1[[#This Row],[Monocyte_count]]+Table1[[#This Row],[Basophil_count]])</f>
        <v>0.16666666666666666</v>
      </c>
      <c r="AU68" s="2">
        <f>Table1[[#This Row],['[Cells'] c/ml]]*Table1[[#This Row],[Neutro%]]</f>
        <v>2771968.365553603</v>
      </c>
      <c r="AV68" s="5">
        <v>1</v>
      </c>
      <c r="AW68" s="4">
        <f>Table1[[#This Row],[Monocyte_count]]/Table1[[#This Row],[total count]]</f>
        <v>4.3936731107205621E-4</v>
      </c>
      <c r="AX68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1.3157894736842105E-2</v>
      </c>
      <c r="AY68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1.8518518518518517E-2</v>
      </c>
      <c r="AZ68" s="2">
        <f>Table1[[#This Row],['[Cells'] c/ml]]*Table1[[#This Row],[Monocyte%]]</f>
        <v>307996.4850615114</v>
      </c>
      <c r="BA68" s="1">
        <v>1</v>
      </c>
      <c r="BB68" s="4">
        <f>Table1[[#This Row],[Basophil_count]]/Table1[[#This Row],[total count]]</f>
        <v>4.3936731107205621E-4</v>
      </c>
      <c r="BC68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1.8518518518518517E-2</v>
      </c>
      <c r="BD68" s="4"/>
      <c r="BE68" s="2">
        <f>Table1[[#This Row],['[Cells'] c/ml]]*Table1[[#This Row],[Basophil%]]</f>
        <v>307996.4850615114</v>
      </c>
      <c r="BF68" s="1">
        <v>0</v>
      </c>
      <c r="BG68" s="4">
        <f>Table1[[#This Row],[immature_count]]/Table1[[#This Row],[total count]]</f>
        <v>0</v>
      </c>
      <c r="BH68" s="2">
        <f>Table1[[#This Row],['[Cells'] c/ml]]*Table1[[#This Row],[immature%]]</f>
        <v>0</v>
      </c>
      <c r="BI68" s="1">
        <v>0</v>
      </c>
      <c r="BJ68" s="4">
        <f>Table1[[#This Row],[mitosis_count]]/Table1[[#This Row],[total count]]</f>
        <v>0</v>
      </c>
      <c r="BK68" s="2">
        <f>Table1[[#This Row],['[Cells'] c/ml]]*Table1[[#This Row],[mitosis%]]</f>
        <v>0</v>
      </c>
      <c r="BL68" s="1">
        <v>1</v>
      </c>
      <c r="BM68" s="4">
        <f>Table1[[#This Row],[Abnormal_count]]/Table1[[#This Row],[total count]]</f>
        <v>4.3936731107205621E-4</v>
      </c>
      <c r="BN68" s="2">
        <f>Table1[[#This Row],['[Cells'] c/ml]]*Table1[[#This Row],[abnormal%]]</f>
        <v>307996.4850615114</v>
      </c>
    </row>
    <row r="69" spans="1:66" x14ac:dyDescent="0.25">
      <c r="A69" s="1" t="s">
        <v>35</v>
      </c>
      <c r="B69" s="1" t="s">
        <v>39</v>
      </c>
      <c r="C69" s="1" t="s">
        <v>33</v>
      </c>
      <c r="D69" s="1" t="s">
        <v>37</v>
      </c>
      <c r="E69" s="1">
        <v>8</v>
      </c>
      <c r="F69" s="3" t="s">
        <v>16</v>
      </c>
      <c r="G69" s="1" t="s">
        <v>16</v>
      </c>
      <c r="H69" s="2">
        <v>619000000</v>
      </c>
      <c r="I69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2205</v>
      </c>
      <c r="J69" s="1">
        <v>2039</v>
      </c>
      <c r="K69" s="4">
        <f>J69/SUM(J69+U69,Z69,AC69,AG69,AL69,AQ69,BA69,BF69,BI69)</f>
        <v>0.92555605991829326</v>
      </c>
      <c r="L69" s="2">
        <f>Table1[[#This Row],['[Cells'] c/ml]]*Table1[[#This Row],[Rbc%]]</f>
        <v>572919201.08942354</v>
      </c>
      <c r="M69" s="4">
        <f>SUM(Table1[[#This Row],[Lymoph%]],Table1[[#This Row],[FE%]],Table1[[#This Row],[GT%]],Table1[[#This Row],[CE%]],Table1[[#This Row],[Neutro%]],Table1[[#This Row],[Basophil%]])</f>
        <v>4.5804988662131514E-2</v>
      </c>
      <c r="N69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35.04854368932039</v>
      </c>
      <c r="O69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10.064102564102564</v>
      </c>
      <c r="P69" s="2">
        <f>Table1[[#This Row],['[Cells'] c/ml]]*Table1[[#This Row],[granulocyte%]]</f>
        <v>28353287.981859408</v>
      </c>
      <c r="Q69" s="4">
        <f>SUM(Table1[[#This Row],[Lymoph%]],Table1[[#This Row],[GT%]],Table1[[#This Row],[FE%]],Table1[[#This Row],[CE%]],Table1[[#This Row],[Neutro%]],Table1[[#This Row],[Basophil%]],Table1[[#This Row],[Monocyte%]])</f>
        <v>4.6712018140589562E-2</v>
      </c>
      <c r="R69" s="2">
        <f>Table1[[#This Row],['[Cells'] c/ml]]*Table1[[#This Row],[wbc%]]</f>
        <v>28914739.229024939</v>
      </c>
      <c r="S69" s="7">
        <f>Table1[[#This Row],['[wbc']]]/Table1[[#This Row],['[Granulocyte']]]</f>
        <v>1.0198019801980198</v>
      </c>
      <c r="T69" s="7">
        <f>Table1[[#This Row],['[Rbc']]]/Table1[[#This Row],['[wbc']]]</f>
        <v>19.814088467182884</v>
      </c>
      <c r="U69" s="1">
        <v>61</v>
      </c>
      <c r="V69" s="4">
        <f>Table1[[#This Row],[Lympho_count]]/Table1[[#This Row],[total count]]</f>
        <v>2.7664399092970523E-2</v>
      </c>
      <c r="W69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0.59223300970873782</v>
      </c>
      <c r="X69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0.78205128205128205</v>
      </c>
      <c r="Y69" s="2">
        <f>Table1[[#This Row],['[Cells'] c/ml]]*Table1[[#This Row],[Lymoph%]]</f>
        <v>17124263.038548753</v>
      </c>
      <c r="Z69" s="1">
        <v>63</v>
      </c>
      <c r="AA69" s="4">
        <f>Table1[[#This Row],[Thrombo_count]]/Table1[[#This Row],[total count]]</f>
        <v>2.8571428571428571E-2</v>
      </c>
      <c r="AB69" s="2">
        <f>Table1[[#This Row],['[Cells'] c/ml]]*Table1[[#This Row],[Thrombo%]]</f>
        <v>17685714.285714284</v>
      </c>
      <c r="AC69" s="1">
        <v>25</v>
      </c>
      <c r="AD69" s="4">
        <f>Table1[[#This Row],[GT_count]]/Table1[[#This Row],[total count]]</f>
        <v>1.1337868480725623E-2</v>
      </c>
      <c r="AE69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0.24271844660194175</v>
      </c>
      <c r="AF69" s="2">
        <f>Table1[[#This Row],['[Cells'] c/ml]]*Table1[[#This Row],[GT%]]</f>
        <v>7018140.5895691607</v>
      </c>
      <c r="AG69" s="1">
        <v>2</v>
      </c>
      <c r="AH69" s="4">
        <f>Table1[[#This Row],[FE_count]]/Table1[[#This Row],[total count]]</f>
        <v>9.0702947845804993E-4</v>
      </c>
      <c r="AI69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1.9417475728155338E-2</v>
      </c>
      <c r="AJ69" s="4">
        <f>Table1[[#This Row],[FE_count]]/(Table1[[#This Row],[Lympho_count]]+Table1[[#This Row],[FE_count]]+Table1[[#This Row],[CE_count]]+Table1[[#This Row],[Neutro_count]]+Table1[[#This Row],[Monocyte_count]]+Table1[[#This Row],[Basophil_count]])</f>
        <v>2.564102564102564E-2</v>
      </c>
      <c r="AK69" s="2">
        <f>Table1[[#This Row],['[Cells'] c/ml]]*Table1[[#This Row],[FE%]]</f>
        <v>561451.2471655329</v>
      </c>
      <c r="AL69" s="1">
        <v>8</v>
      </c>
      <c r="AM69" s="4">
        <f>Table1[[#This Row],[CE_count]]/Table1[[#This Row],[total count]]</f>
        <v>3.6281179138321997E-3</v>
      </c>
      <c r="AN69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7.7669902912621352E-2</v>
      </c>
      <c r="AO69" s="4">
        <f>Table1[[#This Row],[CE_count]]/(Table1[[#This Row],[Lympho_count]]+Table1[[#This Row],[FE_count]]+Table1[[#This Row],[CE_count]]+Table1[[#This Row],[Neutro_count]]+Table1[[#This Row],[Monocyte_count]]+Table1[[#This Row],[Basophil_count]])</f>
        <v>0.10256410256410256</v>
      </c>
      <c r="AP69" s="2">
        <f>Table1[[#This Row],['[Cells'] c/ml]]*Table1[[#This Row],[CE%]]</f>
        <v>2245804.9886621316</v>
      </c>
      <c r="AQ69" s="1">
        <v>5</v>
      </c>
      <c r="AR69" s="4">
        <f>Table1[[#This Row],[Neutro_count]]/Table1[[#This Row],[total count]]</f>
        <v>2.2675736961451248E-3</v>
      </c>
      <c r="AS69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4.8543689320388349E-2</v>
      </c>
      <c r="AT69" s="4">
        <f>Table1[[#This Row],[Neutro_count]]/(Table1[[#This Row],[Lympho_count]]+Table1[[#This Row],[FE_count]]+Table1[[#This Row],[CE_count]]+Table1[[#This Row],[Neutro_count]]+Table1[[#This Row],[Monocyte_count]]+Table1[[#This Row],[Basophil_count]])</f>
        <v>6.4102564102564097E-2</v>
      </c>
      <c r="AU69" s="2">
        <f>Table1[[#This Row],['[Cells'] c/ml]]*Table1[[#This Row],[Neutro%]]</f>
        <v>1403628.1179138322</v>
      </c>
      <c r="AV69" s="5">
        <v>2</v>
      </c>
      <c r="AW69" s="4">
        <f>Table1[[#This Row],[Monocyte_count]]/Table1[[#This Row],[total count]]</f>
        <v>9.0702947845804993E-4</v>
      </c>
      <c r="AX69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1.9417475728155338E-2</v>
      </c>
      <c r="AY69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2.564102564102564E-2</v>
      </c>
      <c r="AZ69" s="2">
        <f>Table1[[#This Row],['[Cells'] c/ml]]*Table1[[#This Row],[Monocyte%]]</f>
        <v>561451.2471655329</v>
      </c>
      <c r="BA69" s="1">
        <v>0</v>
      </c>
      <c r="BB69" s="4">
        <f>Table1[[#This Row],[Basophil_count]]/Table1[[#This Row],[total count]]</f>
        <v>0</v>
      </c>
      <c r="BC69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D69" s="4"/>
      <c r="BE69" s="2">
        <f>Table1[[#This Row],['[Cells'] c/ml]]*Table1[[#This Row],[Basophil%]]</f>
        <v>0</v>
      </c>
      <c r="BF69" s="1">
        <v>0</v>
      </c>
      <c r="BG69" s="4">
        <f>Table1[[#This Row],[immature_count]]/Table1[[#This Row],[total count]]</f>
        <v>0</v>
      </c>
      <c r="BH69" s="2">
        <f>Table1[[#This Row],['[Cells'] c/ml]]*Table1[[#This Row],[immature%]]</f>
        <v>0</v>
      </c>
      <c r="BI69" s="1">
        <v>0</v>
      </c>
      <c r="BJ69" s="4">
        <f>Table1[[#This Row],[mitosis_count]]/Table1[[#This Row],[total count]]</f>
        <v>0</v>
      </c>
      <c r="BK69" s="2">
        <f>Table1[[#This Row],['[Cells'] c/ml]]*Table1[[#This Row],[mitosis%]]</f>
        <v>0</v>
      </c>
      <c r="BL69" s="1">
        <v>0</v>
      </c>
      <c r="BM69" s="4">
        <f>Table1[[#This Row],[Abnormal_count]]/Table1[[#This Row],[total count]]</f>
        <v>0</v>
      </c>
      <c r="BN69" s="2">
        <f>Table1[[#This Row],['[Cells'] c/ml]]*Table1[[#This Row],[abnormal%]]</f>
        <v>0</v>
      </c>
    </row>
    <row r="70" spans="1:66" x14ac:dyDescent="0.25">
      <c r="A70" s="1" t="s">
        <v>35</v>
      </c>
      <c r="B70" s="1" t="s">
        <v>40</v>
      </c>
      <c r="C70" s="1" t="s">
        <v>15</v>
      </c>
      <c r="D70" s="1" t="s">
        <v>37</v>
      </c>
      <c r="E70" s="1">
        <v>8</v>
      </c>
      <c r="F70" s="3" t="s">
        <v>45</v>
      </c>
      <c r="G70" s="1" t="s">
        <v>16</v>
      </c>
      <c r="H70" s="2">
        <v>790250000</v>
      </c>
      <c r="I70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2127</v>
      </c>
      <c r="J70" s="1">
        <v>2002</v>
      </c>
      <c r="K70" s="4">
        <f>J70/SUM(J70+U70,Z70,AC70,AG70,AL70,AQ70,BA70,BF70,BI70)</f>
        <v>0.94123178185237422</v>
      </c>
      <c r="L70" s="2">
        <f>Table1[[#This Row],['[Cells'] c/ml]]*Table1[[#This Row],[Rbc%]]</f>
        <v>743808415.60883868</v>
      </c>
      <c r="M70" s="4">
        <f>SUM(Table1[[#This Row],[Lymoph%]],Table1[[#This Row],[FE%]],Table1[[#This Row],[GT%]],Table1[[#This Row],[CE%]],Table1[[#This Row],[Neutro%]],Table1[[#This Row],[Basophil%]])</f>
        <v>3.3380347907851438E-2</v>
      </c>
      <c r="N70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25.140845070422536</v>
      </c>
      <c r="O70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11.175438596491228</v>
      </c>
      <c r="P70" s="2">
        <f>Table1[[#This Row],['[Cells'] c/ml]]*Table1[[#This Row],[granulocyte%]]</f>
        <v>26378819.9341796</v>
      </c>
      <c r="Q70" s="4">
        <f>SUM(Table1[[#This Row],[Lymoph%]],Table1[[#This Row],[GT%]],Table1[[#This Row],[FE%]],Table1[[#This Row],[CE%]],Table1[[#This Row],[Neutro%]],Table1[[#This Row],[Basophil%]],Table1[[#This Row],[Monocyte%]])</f>
        <v>3.3380347907851438E-2</v>
      </c>
      <c r="R70" s="2">
        <f>Table1[[#This Row],['[Cells'] c/ml]]*Table1[[#This Row],[wbc%]]</f>
        <v>26378819.9341796</v>
      </c>
      <c r="S70" s="7">
        <f>Table1[[#This Row],['[wbc']]]/Table1[[#This Row],['[Granulocyte']]]</f>
        <v>1</v>
      </c>
      <c r="T70" s="7">
        <f>Table1[[#This Row],['[Rbc']]]/Table1[[#This Row],['[wbc']]]</f>
        <v>28.197183098591541</v>
      </c>
      <c r="U70" s="1">
        <v>36</v>
      </c>
      <c r="V70" s="4">
        <f>Table1[[#This Row],[Lympho_count]]/Table1[[#This Row],[total count]]</f>
        <v>1.6925246826516221E-2</v>
      </c>
      <c r="W70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0.50704225352112675</v>
      </c>
      <c r="X70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0.63157894736842102</v>
      </c>
      <c r="Y70" s="2">
        <f>Table1[[#This Row],['[Cells'] c/ml]]*Table1[[#This Row],[Lymoph%]]</f>
        <v>13375176.304654444</v>
      </c>
      <c r="Z70" s="1">
        <v>54</v>
      </c>
      <c r="AA70" s="4">
        <f>Table1[[#This Row],[Thrombo_count]]/Table1[[#This Row],[total count]]</f>
        <v>2.5387870239774329E-2</v>
      </c>
      <c r="AB70" s="2">
        <f>Table1[[#This Row],['[Cells'] c/ml]]*Table1[[#This Row],[Thrombo%]]</f>
        <v>20062764.456981663</v>
      </c>
      <c r="AC70" s="1">
        <v>14</v>
      </c>
      <c r="AD70" s="4">
        <f>Table1[[#This Row],[GT_count]]/Table1[[#This Row],[total count]]</f>
        <v>6.5820404325340857E-3</v>
      </c>
      <c r="AE70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0.19718309859154928</v>
      </c>
      <c r="AF70" s="2">
        <f>Table1[[#This Row],['[Cells'] c/ml]]*Table1[[#This Row],[GT%]]</f>
        <v>5201457.451810061</v>
      </c>
      <c r="AG70" s="1">
        <v>4</v>
      </c>
      <c r="AH70" s="4">
        <f>Table1[[#This Row],[FE_count]]/Table1[[#This Row],[total count]]</f>
        <v>1.8805829807240243E-3</v>
      </c>
      <c r="AI70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5.6338028169014086E-2</v>
      </c>
      <c r="AJ70" s="4">
        <f>Table1[[#This Row],[FE_count]]/(Table1[[#This Row],[Lympho_count]]+Table1[[#This Row],[FE_count]]+Table1[[#This Row],[CE_count]]+Table1[[#This Row],[Neutro_count]]+Table1[[#This Row],[Monocyte_count]]+Table1[[#This Row],[Basophil_count]])</f>
        <v>7.0175438596491224E-2</v>
      </c>
      <c r="AK70" s="2">
        <f>Table1[[#This Row],['[Cells'] c/ml]]*Table1[[#This Row],[FE%]]</f>
        <v>1486130.7005171604</v>
      </c>
      <c r="AL70" s="1">
        <v>7</v>
      </c>
      <c r="AM70" s="4">
        <f>Table1[[#This Row],[CE_count]]/Table1[[#This Row],[total count]]</f>
        <v>3.2910202162670429E-3</v>
      </c>
      <c r="AN70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9.8591549295774641E-2</v>
      </c>
      <c r="AO70" s="4">
        <f>Table1[[#This Row],[CE_count]]/(Table1[[#This Row],[Lympho_count]]+Table1[[#This Row],[FE_count]]+Table1[[#This Row],[CE_count]]+Table1[[#This Row],[Neutro_count]]+Table1[[#This Row],[Monocyte_count]]+Table1[[#This Row],[Basophil_count]])</f>
        <v>0.12280701754385964</v>
      </c>
      <c r="AP70" s="2">
        <f>Table1[[#This Row],['[Cells'] c/ml]]*Table1[[#This Row],[CE%]]</f>
        <v>2600728.7259050305</v>
      </c>
      <c r="AQ70" s="1">
        <v>10</v>
      </c>
      <c r="AR70" s="4">
        <f>Table1[[#This Row],[Neutro_count]]/Table1[[#This Row],[total count]]</f>
        <v>4.7014574518100608E-3</v>
      </c>
      <c r="AS70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0.14084507042253522</v>
      </c>
      <c r="AT70" s="4">
        <f>Table1[[#This Row],[Neutro_count]]/(Table1[[#This Row],[Lympho_count]]+Table1[[#This Row],[FE_count]]+Table1[[#This Row],[CE_count]]+Table1[[#This Row],[Neutro_count]]+Table1[[#This Row],[Monocyte_count]]+Table1[[#This Row],[Basophil_count]])</f>
        <v>0.17543859649122806</v>
      </c>
      <c r="AU70" s="2">
        <f>Table1[[#This Row],['[Cells'] c/ml]]*Table1[[#This Row],[Neutro%]]</f>
        <v>3715326.7512929006</v>
      </c>
      <c r="AV70" s="5">
        <v>0</v>
      </c>
      <c r="AW70" s="4">
        <f>Table1[[#This Row],[Monocyte_count]]/Table1[[#This Row],[total count]]</f>
        <v>0</v>
      </c>
      <c r="AX70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0</v>
      </c>
      <c r="AY70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0</v>
      </c>
      <c r="AZ70" s="2">
        <f>Table1[[#This Row],['[Cells'] c/ml]]*Table1[[#This Row],[Monocyte%]]</f>
        <v>0</v>
      </c>
      <c r="BA70" s="1">
        <v>0</v>
      </c>
      <c r="BB70" s="4">
        <f>Table1[[#This Row],[Basophil_count]]/Table1[[#This Row],[total count]]</f>
        <v>0</v>
      </c>
      <c r="BC70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D70" s="4"/>
      <c r="BE70" s="2">
        <f>Table1[[#This Row],['[Cells'] c/ml]]*Table1[[#This Row],[Basophil%]]</f>
        <v>0</v>
      </c>
      <c r="BF70" s="1">
        <v>0</v>
      </c>
      <c r="BG70" s="4">
        <f>Table1[[#This Row],[immature_count]]/Table1[[#This Row],[total count]]</f>
        <v>0</v>
      </c>
      <c r="BH70" s="2">
        <f>Table1[[#This Row],['[Cells'] c/ml]]*Table1[[#This Row],[immature%]]</f>
        <v>0</v>
      </c>
      <c r="BI70" s="1">
        <v>0</v>
      </c>
      <c r="BJ70" s="4">
        <f>Table1[[#This Row],[mitosis_count]]/Table1[[#This Row],[total count]]</f>
        <v>0</v>
      </c>
      <c r="BK70" s="2">
        <f>Table1[[#This Row],['[Cells'] c/ml]]*Table1[[#This Row],[mitosis%]]</f>
        <v>0</v>
      </c>
      <c r="BL70" s="1">
        <v>0</v>
      </c>
      <c r="BM70" s="4">
        <f>Table1[[#This Row],[Abnormal_count]]/Table1[[#This Row],[total count]]</f>
        <v>0</v>
      </c>
      <c r="BN70" s="2">
        <f>Table1[[#This Row],['[Cells'] c/ml]]*Table1[[#This Row],[abnormal%]]</f>
        <v>0</v>
      </c>
    </row>
    <row r="71" spans="1:66" x14ac:dyDescent="0.25">
      <c r="A71" s="1" t="s">
        <v>35</v>
      </c>
      <c r="B71" s="1" t="s">
        <v>41</v>
      </c>
      <c r="C71" s="1" t="s">
        <v>42</v>
      </c>
      <c r="D71" s="1" t="s">
        <v>43</v>
      </c>
      <c r="E71" s="1">
        <v>8</v>
      </c>
      <c r="F71" s="3" t="s">
        <v>16</v>
      </c>
      <c r="G71" s="1" t="s">
        <v>16</v>
      </c>
      <c r="H71" s="2">
        <v>630500000</v>
      </c>
      <c r="I71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2172</v>
      </c>
      <c r="J71" s="1">
        <v>2045</v>
      </c>
      <c r="K71" s="4">
        <f>J71/SUM(J71+U71,Z71,AC71,AG71,AL71,AQ71,BA71,BF71,BI71)</f>
        <v>0.94283079760258182</v>
      </c>
      <c r="L71" s="2">
        <f>Table1[[#This Row],['[Cells'] c/ml]]*Table1[[#This Row],[Rbc%]]</f>
        <v>594454817.88842785</v>
      </c>
      <c r="M71" s="4">
        <f>SUM(Table1[[#This Row],[Lymoph%]],Table1[[#This Row],[FE%]],Table1[[#This Row],[GT%]],Table1[[#This Row],[CE%]],Table1[[#This Row],[Neutro%]],Table1[[#This Row],[Basophil%]])</f>
        <v>2.85451197053407E-2</v>
      </c>
      <c r="N71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17.046875</v>
      </c>
      <c r="O71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8.0545454545454547</v>
      </c>
      <c r="P71" s="2">
        <f>Table1[[#This Row],['[Cells'] c/ml]]*Table1[[#This Row],[granulocyte%]]</f>
        <v>17997697.974217311</v>
      </c>
      <c r="Q71" s="4">
        <f>SUM(Table1[[#This Row],[Lymoph%]],Table1[[#This Row],[GT%]],Table1[[#This Row],[FE%]],Table1[[#This Row],[CE%]],Table1[[#This Row],[Neutro%]],Table1[[#This Row],[Basophil%]],Table1[[#This Row],[Monocyte%]])</f>
        <v>2.9465930018416207E-2</v>
      </c>
      <c r="R71" s="2">
        <f>Table1[[#This Row],['[Cells'] c/ml]]*Table1[[#This Row],[wbc%]]</f>
        <v>18578268.876611419</v>
      </c>
      <c r="S71" s="7">
        <f>Table1[[#This Row],['[wbc']]]/Table1[[#This Row],['[Granulocyte']]]</f>
        <v>1.0322580645161292</v>
      </c>
      <c r="T71" s="7">
        <f>Table1[[#This Row],['[Rbc']]]/Table1[[#This Row],['[wbc']]]</f>
        <v>31.99732019363762</v>
      </c>
      <c r="U71" s="1">
        <v>42</v>
      </c>
      <c r="V71" s="4">
        <f>Table1[[#This Row],[Lympho_count]]/Table1[[#This Row],[total count]]</f>
        <v>1.9337016574585635E-2</v>
      </c>
      <c r="W71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0.65625</v>
      </c>
      <c r="X71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0.76363636363636367</v>
      </c>
      <c r="Y71" s="2">
        <f>Table1[[#This Row],['[Cells'] c/ml]]*Table1[[#This Row],[Lymoph%]]</f>
        <v>12191988.950276243</v>
      </c>
      <c r="Z71" s="1">
        <v>46</v>
      </c>
      <c r="AA71" s="4">
        <f>Table1[[#This Row],[Thrombo_count]]/Table1[[#This Row],[total count]]</f>
        <v>2.117863720073665E-2</v>
      </c>
      <c r="AB71" s="2">
        <f>Table1[[#This Row],['[Cells'] c/ml]]*Table1[[#This Row],[Thrombo%]]</f>
        <v>13353130.755064458</v>
      </c>
      <c r="AC71" s="1">
        <v>9</v>
      </c>
      <c r="AD71" s="4">
        <f>Table1[[#This Row],[GT_count]]/Table1[[#This Row],[total count]]</f>
        <v>4.1436464088397788E-3</v>
      </c>
      <c r="AE71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0.140625</v>
      </c>
      <c r="AF71" s="2">
        <f>Table1[[#This Row],['[Cells'] c/ml]]*Table1[[#This Row],[GT%]]</f>
        <v>2612569.0607734807</v>
      </c>
      <c r="AG71" s="1">
        <v>2</v>
      </c>
      <c r="AH71" s="4">
        <f>Table1[[#This Row],[FE_count]]/Table1[[#This Row],[total count]]</f>
        <v>9.2081031307550648E-4</v>
      </c>
      <c r="AI71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3.125E-2</v>
      </c>
      <c r="AJ71" s="4">
        <f>Table1[[#This Row],[FE_count]]/(Table1[[#This Row],[Lympho_count]]+Table1[[#This Row],[FE_count]]+Table1[[#This Row],[CE_count]]+Table1[[#This Row],[Neutro_count]]+Table1[[#This Row],[Monocyte_count]]+Table1[[#This Row],[Basophil_count]])</f>
        <v>3.6363636363636362E-2</v>
      </c>
      <c r="AK71" s="2">
        <f>Table1[[#This Row],['[Cells'] c/ml]]*Table1[[#This Row],[FE%]]</f>
        <v>580570.90239410684</v>
      </c>
      <c r="AL71" s="1">
        <v>6</v>
      </c>
      <c r="AM71" s="4">
        <f>Table1[[#This Row],[CE_count]]/Table1[[#This Row],[total count]]</f>
        <v>2.7624309392265192E-3</v>
      </c>
      <c r="AN71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9.375E-2</v>
      </c>
      <c r="AO71" s="4">
        <f>Table1[[#This Row],[CE_count]]/(Table1[[#This Row],[Lympho_count]]+Table1[[#This Row],[FE_count]]+Table1[[#This Row],[CE_count]]+Table1[[#This Row],[Neutro_count]]+Table1[[#This Row],[Monocyte_count]]+Table1[[#This Row],[Basophil_count]])</f>
        <v>0.10909090909090909</v>
      </c>
      <c r="AP71" s="2">
        <f>Table1[[#This Row],['[Cells'] c/ml]]*Table1[[#This Row],[CE%]]</f>
        <v>1741712.7071823203</v>
      </c>
      <c r="AQ71" s="1">
        <v>3</v>
      </c>
      <c r="AR71" s="4">
        <f>Table1[[#This Row],[Neutro_count]]/Table1[[#This Row],[total count]]</f>
        <v>1.3812154696132596E-3</v>
      </c>
      <c r="AS71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4.6875E-2</v>
      </c>
      <c r="AT71" s="4">
        <f>Table1[[#This Row],[Neutro_count]]/(Table1[[#This Row],[Lympho_count]]+Table1[[#This Row],[FE_count]]+Table1[[#This Row],[CE_count]]+Table1[[#This Row],[Neutro_count]]+Table1[[#This Row],[Monocyte_count]]+Table1[[#This Row],[Basophil_count]])</f>
        <v>5.4545454545454543E-2</v>
      </c>
      <c r="AU71" s="2">
        <f>Table1[[#This Row],['[Cells'] c/ml]]*Table1[[#This Row],[Neutro%]]</f>
        <v>870856.35359116015</v>
      </c>
      <c r="AV71" s="5">
        <v>2</v>
      </c>
      <c r="AW71" s="4">
        <f>Table1[[#This Row],[Monocyte_count]]/Table1[[#This Row],[total count]]</f>
        <v>9.2081031307550648E-4</v>
      </c>
      <c r="AX71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3.125E-2</v>
      </c>
      <c r="AY71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3.6363636363636362E-2</v>
      </c>
      <c r="AZ71" s="2">
        <f>Table1[[#This Row],['[Cells'] c/ml]]*Table1[[#This Row],[Monocyte%]]</f>
        <v>580570.90239410684</v>
      </c>
      <c r="BA71" s="1">
        <v>0</v>
      </c>
      <c r="BB71" s="4">
        <f>Table1[[#This Row],[Basophil_count]]/Table1[[#This Row],[total count]]</f>
        <v>0</v>
      </c>
      <c r="BC71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D71" s="4"/>
      <c r="BE71" s="2">
        <f>Table1[[#This Row],['[Cells'] c/ml]]*Table1[[#This Row],[Basophil%]]</f>
        <v>0</v>
      </c>
      <c r="BF71" s="1">
        <v>16</v>
      </c>
      <c r="BG71" s="4">
        <f>Table1[[#This Row],[immature_count]]/Table1[[#This Row],[total count]]</f>
        <v>7.3664825046040518E-3</v>
      </c>
      <c r="BH71" s="2">
        <f>Table1[[#This Row],['[Cells'] c/ml]]*Table1[[#This Row],[immature%]]</f>
        <v>4644567.2191528548</v>
      </c>
      <c r="BI71" s="1">
        <v>0</v>
      </c>
      <c r="BJ71" s="4">
        <f>Table1[[#This Row],[mitosis_count]]/Table1[[#This Row],[total count]]</f>
        <v>0</v>
      </c>
      <c r="BK71" s="2">
        <f>Table1[[#This Row],['[Cells'] c/ml]]*Table1[[#This Row],[mitosis%]]</f>
        <v>0</v>
      </c>
      <c r="BL71" s="1">
        <v>1</v>
      </c>
      <c r="BM71" s="4">
        <f>Table1[[#This Row],[Abnormal_count]]/Table1[[#This Row],[total count]]</f>
        <v>4.6040515653775324E-4</v>
      </c>
      <c r="BN71" s="2">
        <f>Table1[[#This Row],['[Cells'] c/ml]]*Table1[[#This Row],[abnormal%]]</f>
        <v>290285.45119705342</v>
      </c>
    </row>
    <row r="72" spans="1:66" x14ac:dyDescent="0.25">
      <c r="K72" s="4"/>
      <c r="L72" s="2"/>
      <c r="M72" s="4"/>
      <c r="N72" s="5" t="e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#DIV/0!</v>
      </c>
      <c r="O72" s="7" t="e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#DIV/0!</v>
      </c>
      <c r="P72" s="2"/>
      <c r="R72" s="2"/>
      <c r="V72" s="4"/>
      <c r="W72" s="4" t="e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#DIV/0!</v>
      </c>
      <c r="X72" s="4" t="e">
        <f>Table1[[#This Row],[Lympho_count]]/(Table1[[#This Row],[Lympho_count]]+Table1[[#This Row],[FE_count]]+Table1[[#This Row],[CE_count]]+Table1[[#This Row],[Neutro_count]]+Table1[[#This Row],[Monocyte_count]]+Table1[[#This Row],[Basophil_count]])</f>
        <v>#DIV/0!</v>
      </c>
      <c r="Y72" s="2"/>
      <c r="AA72" s="4"/>
      <c r="AB72" s="2"/>
      <c r="AD72" s="4"/>
      <c r="AE72" s="4" t="e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#DIV/0!</v>
      </c>
      <c r="AF72" s="2"/>
      <c r="AH72" s="4"/>
      <c r="AI72" s="4" t="e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#DIV/0!</v>
      </c>
      <c r="AJ72" s="4" t="e">
        <f>Table1[[#This Row],[FE_count]]/(Table1[[#This Row],[Lympho_count]]+Table1[[#This Row],[FE_count]]+Table1[[#This Row],[CE_count]]+Table1[[#This Row],[Neutro_count]]+Table1[[#This Row],[Monocyte_count]]+Table1[[#This Row],[Basophil_count]])</f>
        <v>#DIV/0!</v>
      </c>
      <c r="AK72" s="2"/>
      <c r="AM72" s="4"/>
      <c r="AN72" s="4" t="e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#DIV/0!</v>
      </c>
      <c r="AO72" s="4" t="e">
        <f>Table1[[#This Row],[CE_count]]/(Table1[[#This Row],[Lympho_count]]+Table1[[#This Row],[FE_count]]+Table1[[#This Row],[CE_count]]+Table1[[#This Row],[Neutro_count]]+Table1[[#This Row],[Monocyte_count]]+Table1[[#This Row],[Basophil_count]])</f>
        <v>#DIV/0!</v>
      </c>
      <c r="AP72" s="2"/>
      <c r="AR72" s="4"/>
      <c r="AS72" s="4" t="e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#DIV/0!</v>
      </c>
      <c r="AT72" s="4" t="e">
        <f>Table1[[#This Row],[Neutro_count]]/(Table1[[#This Row],[Lympho_count]]+Table1[[#This Row],[FE_count]]+Table1[[#This Row],[CE_count]]+Table1[[#This Row],[Neutro_count]]+Table1[[#This Row],[Monocyte_count]]+Table1[[#This Row],[Basophil_count]])</f>
        <v>#DIV/0!</v>
      </c>
      <c r="AU72" s="2"/>
      <c r="AV72" s="5"/>
      <c r="AW72" s="4"/>
      <c r="AX72" s="4" t="e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#DIV/0!</v>
      </c>
      <c r="AY72" s="4" t="e">
        <f>Table1[[#This Row],[Monocyte_count]]/(Table1[[#This Row],[Lympho_count]]+Table1[[#This Row],[FE_count]]+Table1[[#This Row],[CE_count]]+Table1[[#This Row],[Neutro_count]]+Table1[[#This Row],[Monocyte_count]]+Table1[[#This Row],[Basophil_count]])</f>
        <v>#DIV/0!</v>
      </c>
      <c r="AZ72" s="2"/>
      <c r="BA72" s="1"/>
      <c r="BB72" s="4"/>
      <c r="BC72" s="4" t="e">
        <f>Table1[[#This Row],[Basophil_count]]/(Table1[[#This Row],[Lympho_count]]+Table1[[#This Row],[FE_count]]+Table1[[#This Row],[CE_count]]+Table1[[#This Row],[Neutro_count]]+Table1[[#This Row],[Monocyte_count]]+Table1[[#This Row],[Basophil_count]])</f>
        <v>#DIV/0!</v>
      </c>
      <c r="BD72" s="4"/>
      <c r="BE72" s="2"/>
      <c r="BF72" s="1"/>
      <c r="BG72" s="4"/>
      <c r="BH72" s="2"/>
      <c r="BI72" s="1"/>
      <c r="BJ72" s="4"/>
      <c r="BK72" s="2"/>
      <c r="BM72" s="4"/>
      <c r="BN72" s="2"/>
    </row>
    <row r="73" spans="1:66" x14ac:dyDescent="0.25">
      <c r="K73" s="4"/>
      <c r="L73" s="2"/>
      <c r="M73" s="4"/>
      <c r="N73" s="5" t="e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#DIV/0!</v>
      </c>
      <c r="O73" s="7" t="e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#DIV/0!</v>
      </c>
      <c r="P73" s="2"/>
      <c r="R73" s="2"/>
      <c r="V73" s="4"/>
      <c r="W73" s="4" t="e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#DIV/0!</v>
      </c>
      <c r="X73" s="4" t="e">
        <f>Table1[[#This Row],[Lympho_count]]/(Table1[[#This Row],[Lympho_count]]+Table1[[#This Row],[FE_count]]+Table1[[#This Row],[CE_count]]+Table1[[#This Row],[Neutro_count]]+Table1[[#This Row],[Monocyte_count]]+Table1[[#This Row],[Basophil_count]])</f>
        <v>#DIV/0!</v>
      </c>
      <c r="Y73" s="2"/>
      <c r="AA73" s="4"/>
      <c r="AB73" s="2"/>
      <c r="AD73" s="4"/>
      <c r="AE73" s="4" t="e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#DIV/0!</v>
      </c>
      <c r="AF73" s="2"/>
      <c r="AH73" s="4"/>
      <c r="AI73" s="4" t="e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#DIV/0!</v>
      </c>
      <c r="AJ73" s="4" t="e">
        <f>Table1[[#This Row],[FE_count]]/(Table1[[#This Row],[Lympho_count]]+Table1[[#This Row],[FE_count]]+Table1[[#This Row],[CE_count]]+Table1[[#This Row],[Neutro_count]]+Table1[[#This Row],[Monocyte_count]]+Table1[[#This Row],[Basophil_count]])</f>
        <v>#DIV/0!</v>
      </c>
      <c r="AK73" s="2"/>
      <c r="AM73" s="4"/>
      <c r="AN73" s="4" t="e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#DIV/0!</v>
      </c>
      <c r="AO73" s="4" t="e">
        <f>Table1[[#This Row],[CE_count]]/(Table1[[#This Row],[Lympho_count]]+Table1[[#This Row],[FE_count]]+Table1[[#This Row],[CE_count]]+Table1[[#This Row],[Neutro_count]]+Table1[[#This Row],[Monocyte_count]]+Table1[[#This Row],[Basophil_count]])</f>
        <v>#DIV/0!</v>
      </c>
      <c r="AP73" s="2"/>
      <c r="AR73" s="4"/>
      <c r="AS73" s="4" t="e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#DIV/0!</v>
      </c>
      <c r="AT73" s="4" t="e">
        <f>Table1[[#This Row],[Neutro_count]]/(Table1[[#This Row],[Lympho_count]]+Table1[[#This Row],[FE_count]]+Table1[[#This Row],[CE_count]]+Table1[[#This Row],[Neutro_count]]+Table1[[#This Row],[Monocyte_count]]+Table1[[#This Row],[Basophil_count]])</f>
        <v>#DIV/0!</v>
      </c>
      <c r="AU73" s="2"/>
      <c r="AV73" s="5"/>
      <c r="AW73" s="4"/>
      <c r="AX73" s="4" t="e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#DIV/0!</v>
      </c>
      <c r="AY73" s="4" t="e">
        <f>Table1[[#This Row],[Monocyte_count]]/(Table1[[#This Row],[Lympho_count]]+Table1[[#This Row],[FE_count]]+Table1[[#This Row],[CE_count]]+Table1[[#This Row],[Neutro_count]]+Table1[[#This Row],[Monocyte_count]]+Table1[[#This Row],[Basophil_count]])</f>
        <v>#DIV/0!</v>
      </c>
      <c r="AZ73" s="2"/>
      <c r="BA73" s="1"/>
      <c r="BB73" s="4"/>
      <c r="BC73" s="4" t="e">
        <f>Table1[[#This Row],[Basophil_count]]/(Table1[[#This Row],[Lympho_count]]+Table1[[#This Row],[FE_count]]+Table1[[#This Row],[CE_count]]+Table1[[#This Row],[Neutro_count]]+Table1[[#This Row],[Monocyte_count]]+Table1[[#This Row],[Basophil_count]])</f>
        <v>#DIV/0!</v>
      </c>
      <c r="BD73" s="4"/>
      <c r="BE73" s="2"/>
      <c r="BF73" s="1"/>
      <c r="BG73" s="4"/>
      <c r="BH73" s="2"/>
      <c r="BI73" s="1"/>
      <c r="BJ73" s="4"/>
      <c r="BK73" s="2"/>
      <c r="BM73" s="4"/>
      <c r="BN73" s="2"/>
    </row>
    <row r="74" spans="1:66" x14ac:dyDescent="0.25">
      <c r="K74" s="4"/>
      <c r="L74" s="2"/>
      <c r="M74" s="4"/>
      <c r="N74" s="5" t="e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#DIV/0!</v>
      </c>
      <c r="O74" s="7" t="e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#DIV/0!</v>
      </c>
      <c r="P74" s="2"/>
      <c r="R74" s="2"/>
      <c r="V74" s="4"/>
      <c r="W74" s="4" t="e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#DIV/0!</v>
      </c>
      <c r="X74" s="4" t="e">
        <f>Table1[[#This Row],[Lympho_count]]/(Table1[[#This Row],[Lympho_count]]+Table1[[#This Row],[FE_count]]+Table1[[#This Row],[CE_count]]+Table1[[#This Row],[Neutro_count]]+Table1[[#This Row],[Monocyte_count]]+Table1[[#This Row],[Basophil_count]])</f>
        <v>#DIV/0!</v>
      </c>
      <c r="Y74" s="2"/>
      <c r="AA74" s="4"/>
      <c r="AB74" s="2"/>
      <c r="AD74" s="4"/>
      <c r="AE74" s="4" t="e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#DIV/0!</v>
      </c>
      <c r="AF74" s="2"/>
      <c r="AH74" s="4"/>
      <c r="AI74" s="4" t="e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#DIV/0!</v>
      </c>
      <c r="AJ74" s="4" t="e">
        <f>Table1[[#This Row],[FE_count]]/(Table1[[#This Row],[Lympho_count]]+Table1[[#This Row],[FE_count]]+Table1[[#This Row],[CE_count]]+Table1[[#This Row],[Neutro_count]]+Table1[[#This Row],[Monocyte_count]]+Table1[[#This Row],[Basophil_count]])</f>
        <v>#DIV/0!</v>
      </c>
      <c r="AK74" s="2"/>
      <c r="AM74" s="4"/>
      <c r="AN74" s="4" t="e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#DIV/0!</v>
      </c>
      <c r="AO74" s="4" t="e">
        <f>Table1[[#This Row],[CE_count]]/(Table1[[#This Row],[Lympho_count]]+Table1[[#This Row],[FE_count]]+Table1[[#This Row],[CE_count]]+Table1[[#This Row],[Neutro_count]]+Table1[[#This Row],[Monocyte_count]]+Table1[[#This Row],[Basophil_count]])</f>
        <v>#DIV/0!</v>
      </c>
      <c r="AP74" s="2"/>
      <c r="AR74" s="4"/>
      <c r="AS74" s="4" t="e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#DIV/0!</v>
      </c>
      <c r="AT74" s="4" t="e">
        <f>Table1[[#This Row],[Neutro_count]]/(Table1[[#This Row],[Lympho_count]]+Table1[[#This Row],[FE_count]]+Table1[[#This Row],[CE_count]]+Table1[[#This Row],[Neutro_count]]+Table1[[#This Row],[Monocyte_count]]+Table1[[#This Row],[Basophil_count]])</f>
        <v>#DIV/0!</v>
      </c>
      <c r="AU74" s="2"/>
      <c r="AV74" s="5"/>
      <c r="AW74" s="4"/>
      <c r="AX74" s="4" t="e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#DIV/0!</v>
      </c>
      <c r="AY74" s="4" t="e">
        <f>Table1[[#This Row],[Monocyte_count]]/(Table1[[#This Row],[Lympho_count]]+Table1[[#This Row],[FE_count]]+Table1[[#This Row],[CE_count]]+Table1[[#This Row],[Neutro_count]]+Table1[[#This Row],[Monocyte_count]]+Table1[[#This Row],[Basophil_count]])</f>
        <v>#DIV/0!</v>
      </c>
      <c r="AZ74" s="2"/>
      <c r="BA74" s="1"/>
      <c r="BB74" s="4"/>
      <c r="BC74" s="4" t="e">
        <f>Table1[[#This Row],[Basophil_count]]/(Table1[[#This Row],[Lympho_count]]+Table1[[#This Row],[FE_count]]+Table1[[#This Row],[CE_count]]+Table1[[#This Row],[Neutro_count]]+Table1[[#This Row],[Monocyte_count]]+Table1[[#This Row],[Basophil_count]])</f>
        <v>#DIV/0!</v>
      </c>
      <c r="BD74" s="4"/>
      <c r="BE74" s="2"/>
      <c r="BF74" s="1"/>
      <c r="BG74" s="4"/>
      <c r="BH74" s="2"/>
      <c r="BI74" s="1"/>
      <c r="BJ74" s="4"/>
      <c r="BK74" s="2"/>
      <c r="BM74" s="4"/>
      <c r="BN74" s="2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Benoit</dc:creator>
  <cp:lastModifiedBy>aurelie Benoit</cp:lastModifiedBy>
  <dcterms:created xsi:type="dcterms:W3CDTF">2025-11-09T08:48:18Z</dcterms:created>
  <dcterms:modified xsi:type="dcterms:W3CDTF">2025-11-13T10:18:59Z</dcterms:modified>
</cp:coreProperties>
</file>